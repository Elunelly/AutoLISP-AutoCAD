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LP CAO-DAO\PROJET - ENTREPRISE {O. PANAGIOTOU}\20. TRAVAIL\05. NOTE DE CALCULS\"/>
    </mc:Choice>
  </mc:AlternateContent>
  <xr:revisionPtr revIDLastSave="0" documentId="13_ncr:1_{D4D32BF1-6E4F-40C9-ADCF-74042794F44F}" xr6:coauthVersionLast="43" xr6:coauthVersionMax="43" xr10:uidLastSave="{00000000-0000-0000-0000-000000000000}"/>
  <bookViews>
    <workbookView xWindow="-120" yWindow="-120" windowWidth="29040" windowHeight="15840" tabRatio="571" activeTab="1" xr2:uid="{00223BD9-BC96-43A1-899F-CFC66A3A5067}"/>
  </bookViews>
  <sheets>
    <sheet name="Indice Plan" sheetId="1" r:id="rId1"/>
    <sheet name="Liste des Calques" sheetId="5" r:id="rId2"/>
    <sheet name="Toiture - Filtres" sheetId="3" r:id="rId3"/>
    <sheet name="CS - Filtres" sheetId="10" r:id="rId4"/>
    <sheet name="Ombrière - Filtres" sheetId="11" r:id="rId5"/>
    <sheet name="Serre - Filtres" sheetId="12" r:id="rId6"/>
    <sheet name="Syn. - Filtres" sheetId="13" r:id="rId7"/>
    <sheet name="Données AutoCAD" sheetId="14" r:id="rId8"/>
  </sheets>
  <definedNames>
    <definedName name="_xlnm._FilterDatabase" localSheetId="1" hidden="1">'Liste des Calques'!$B$2:$P$73</definedName>
    <definedName name="Couleur">'Données AutoCAD'!$B$3:$B$257</definedName>
    <definedName name="Ind_CS">'Indice Plan'!$F$3:$G$100</definedName>
    <definedName name="Ind_Ombrière">'Indice Plan'!$D$3:$E$100</definedName>
    <definedName name="Ind_Serre">'Indice Plan'!$H$3:$I$100</definedName>
    <definedName name="Ind_Syn">'Indice Plan'!$J$3:$K$100</definedName>
    <definedName name="Ind_Toiture">'Indice Plan'!$B$3:$C$100</definedName>
    <definedName name="List_CS">'Liste des Calques'!$E$3:$E$100</definedName>
    <definedName name="List_Ombrière">'Liste des Calques'!$H$3:$H$100</definedName>
    <definedName name="List_Serre">'Liste des Calques'!$K$3:$K$100</definedName>
    <definedName name="List_Synoptique">'Liste des Calques'!$N$3:$N$100</definedName>
    <definedName name="List_Toiture">'Liste des Calques'!$B$3:$B$100</definedName>
    <definedName name="Liste_Complète_Calques">'Liste des Calques'!$Y$3:$Y$200</definedName>
    <definedName name="TypeLigne">'Données AutoCAD'!$D$3:$D$33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4" i="5" l="1"/>
  <c r="X4" i="5"/>
  <c r="W5" i="5"/>
  <c r="X5" i="5"/>
  <c r="W6" i="5"/>
  <c r="X6" i="5"/>
  <c r="W7" i="5"/>
  <c r="X7" i="5"/>
  <c r="W8" i="5"/>
  <c r="X8" i="5"/>
  <c r="W9" i="5"/>
  <c r="X9" i="5"/>
  <c r="W10" i="5"/>
  <c r="X10" i="5"/>
  <c r="W12" i="5"/>
  <c r="X12" i="5"/>
  <c r="W13" i="5"/>
  <c r="X13" i="5"/>
  <c r="W14" i="5"/>
  <c r="X14" i="5"/>
  <c r="W15" i="5"/>
  <c r="X15" i="5"/>
  <c r="W16" i="5"/>
  <c r="X16" i="5"/>
  <c r="W17" i="5"/>
  <c r="X17" i="5"/>
  <c r="W18" i="5"/>
  <c r="X18" i="5"/>
  <c r="W19" i="5"/>
  <c r="X19" i="5"/>
  <c r="W20" i="5"/>
  <c r="X20" i="5"/>
  <c r="W21" i="5"/>
  <c r="X21" i="5"/>
  <c r="W22" i="5"/>
  <c r="X22" i="5"/>
  <c r="W23" i="5"/>
  <c r="X23" i="5"/>
  <c r="W24" i="5"/>
  <c r="X24" i="5"/>
  <c r="W25" i="5"/>
  <c r="X25" i="5"/>
  <c r="W26" i="5"/>
  <c r="X26" i="5"/>
  <c r="W27" i="5"/>
  <c r="X27" i="5"/>
  <c r="W28" i="5"/>
  <c r="X28" i="5"/>
  <c r="W29" i="5"/>
  <c r="X29" i="5"/>
  <c r="W30" i="5"/>
  <c r="X30" i="5"/>
  <c r="W31" i="5"/>
  <c r="X31" i="5"/>
  <c r="W32" i="5"/>
  <c r="X32" i="5"/>
  <c r="W33" i="5"/>
  <c r="X33" i="5"/>
  <c r="W34" i="5"/>
  <c r="X34" i="5"/>
  <c r="W35" i="5"/>
  <c r="X35" i="5"/>
  <c r="W36" i="5"/>
  <c r="X36" i="5"/>
  <c r="W37" i="5"/>
  <c r="X37" i="5"/>
  <c r="W38" i="5"/>
  <c r="X38" i="5"/>
  <c r="W39" i="5"/>
  <c r="X39" i="5"/>
  <c r="W40" i="5"/>
  <c r="X40" i="5"/>
  <c r="W41" i="5"/>
  <c r="X41" i="5"/>
  <c r="W42" i="5"/>
  <c r="X42" i="5"/>
  <c r="W43" i="5"/>
  <c r="X43" i="5"/>
  <c r="W44" i="5"/>
  <c r="X44" i="5"/>
  <c r="W45" i="5"/>
  <c r="X45" i="5"/>
  <c r="W46" i="5"/>
  <c r="X46" i="5"/>
  <c r="W47" i="5"/>
  <c r="X47" i="5"/>
  <c r="W48" i="5"/>
  <c r="X48" i="5"/>
  <c r="W49" i="5"/>
  <c r="X49" i="5"/>
  <c r="W50" i="5"/>
  <c r="X50" i="5"/>
  <c r="W51" i="5"/>
  <c r="X51" i="5"/>
  <c r="W52" i="5"/>
  <c r="X52" i="5"/>
  <c r="W53" i="5"/>
  <c r="X53" i="5"/>
  <c r="W54" i="5"/>
  <c r="X54" i="5"/>
  <c r="W55" i="5"/>
  <c r="X55" i="5"/>
  <c r="W56" i="5"/>
  <c r="X56" i="5"/>
  <c r="W57" i="5"/>
  <c r="X57" i="5"/>
  <c r="W58" i="5"/>
  <c r="X58" i="5"/>
  <c r="W61" i="5"/>
  <c r="X61" i="5"/>
  <c r="W62" i="5"/>
  <c r="X62" i="5"/>
  <c r="W63" i="5"/>
  <c r="X63" i="5"/>
  <c r="W64" i="5"/>
  <c r="X64" i="5"/>
  <c r="W65" i="5"/>
  <c r="X65" i="5"/>
  <c r="W66" i="5"/>
  <c r="X66" i="5"/>
  <c r="W67" i="5"/>
  <c r="X67" i="5"/>
  <c r="W68" i="5"/>
  <c r="X68" i="5"/>
  <c r="W69" i="5"/>
  <c r="X69" i="5"/>
  <c r="W70" i="5"/>
  <c r="X70" i="5"/>
  <c r="W71" i="5"/>
  <c r="X71" i="5"/>
  <c r="W72" i="5"/>
  <c r="X72" i="5"/>
  <c r="W73" i="5"/>
  <c r="X73" i="5"/>
  <c r="W74" i="5"/>
  <c r="X74" i="5"/>
  <c r="W75" i="5"/>
  <c r="X75" i="5"/>
  <c r="W76" i="5"/>
  <c r="X76" i="5"/>
  <c r="W77" i="5"/>
  <c r="X77" i="5"/>
  <c r="W78" i="5"/>
  <c r="X78" i="5"/>
  <c r="W79" i="5"/>
  <c r="X79" i="5"/>
  <c r="W80" i="5"/>
  <c r="X80" i="5"/>
  <c r="W81" i="5"/>
  <c r="X81" i="5"/>
  <c r="W82" i="5"/>
  <c r="X82" i="5"/>
  <c r="W83" i="5"/>
  <c r="X83" i="5"/>
  <c r="W84" i="5"/>
  <c r="X84" i="5"/>
  <c r="W85" i="5"/>
  <c r="X85" i="5"/>
  <c r="W86" i="5"/>
  <c r="X86" i="5"/>
  <c r="W87" i="5"/>
  <c r="X87" i="5"/>
  <c r="W88" i="5"/>
  <c r="X88" i="5"/>
  <c r="W89" i="5"/>
  <c r="X89" i="5"/>
  <c r="W90" i="5"/>
  <c r="X90" i="5"/>
  <c r="W91" i="5"/>
  <c r="X91" i="5"/>
  <c r="W92" i="5"/>
  <c r="X92" i="5"/>
  <c r="W93" i="5"/>
  <c r="X93" i="5"/>
  <c r="W94" i="5"/>
  <c r="X94" i="5"/>
  <c r="W95" i="5"/>
  <c r="X95" i="5"/>
  <c r="W96" i="5"/>
  <c r="X96" i="5"/>
  <c r="W97" i="5"/>
  <c r="X97" i="5"/>
  <c r="W98" i="5"/>
  <c r="X98" i="5"/>
  <c r="W99" i="5"/>
  <c r="X99" i="5"/>
  <c r="W100" i="5"/>
  <c r="X100" i="5"/>
  <c r="W101" i="5"/>
  <c r="X101" i="5"/>
  <c r="W103" i="5"/>
  <c r="X103" i="5"/>
  <c r="W104" i="5"/>
  <c r="X104" i="5"/>
  <c r="W105" i="5"/>
  <c r="X105" i="5"/>
  <c r="W106" i="5"/>
  <c r="X106" i="5"/>
  <c r="W107" i="5"/>
  <c r="X107" i="5"/>
  <c r="W108" i="5"/>
  <c r="X108" i="5"/>
  <c r="W109" i="5"/>
  <c r="X109" i="5"/>
  <c r="W110" i="5"/>
  <c r="X110" i="5"/>
  <c r="W111" i="5"/>
  <c r="X111" i="5"/>
  <c r="W112" i="5"/>
  <c r="X112" i="5"/>
  <c r="W113" i="5"/>
  <c r="X113" i="5"/>
  <c r="W114" i="5"/>
  <c r="X114" i="5"/>
  <c r="W115" i="5"/>
  <c r="X115" i="5"/>
  <c r="W116" i="5"/>
  <c r="X116" i="5"/>
  <c r="W117" i="5"/>
  <c r="X117" i="5"/>
  <c r="W118" i="5"/>
  <c r="X118" i="5"/>
  <c r="W119" i="5"/>
  <c r="X119" i="5"/>
  <c r="W121" i="5"/>
  <c r="X121" i="5"/>
  <c r="W122" i="5"/>
  <c r="X122" i="5"/>
  <c r="W123" i="5"/>
  <c r="X123" i="5"/>
  <c r="W124" i="5"/>
  <c r="X124" i="5"/>
  <c r="W125" i="5"/>
  <c r="X125" i="5"/>
  <c r="W126" i="5"/>
  <c r="X126" i="5"/>
  <c r="W127" i="5"/>
  <c r="X127" i="5"/>
  <c r="W128" i="5"/>
  <c r="X128" i="5"/>
  <c r="W129" i="5"/>
  <c r="X129" i="5"/>
  <c r="W130" i="5"/>
  <c r="X130" i="5"/>
  <c r="W131" i="5"/>
  <c r="X131" i="5"/>
  <c r="W132" i="5"/>
  <c r="X132" i="5"/>
  <c r="W133" i="5"/>
  <c r="X133" i="5"/>
  <c r="W134" i="5"/>
  <c r="X134" i="5"/>
  <c r="W135" i="5"/>
  <c r="X135" i="5"/>
  <c r="W136" i="5"/>
  <c r="X136" i="5"/>
  <c r="W137" i="5"/>
  <c r="X137" i="5"/>
  <c r="W138" i="5"/>
  <c r="X138" i="5"/>
  <c r="W139" i="5"/>
  <c r="X139" i="5"/>
  <c r="W140" i="5"/>
  <c r="X140" i="5"/>
  <c r="W141" i="5"/>
  <c r="X141" i="5"/>
  <c r="W142" i="5"/>
  <c r="X142" i="5"/>
  <c r="W143" i="5"/>
  <c r="X143" i="5"/>
  <c r="W144" i="5"/>
  <c r="X144" i="5"/>
  <c r="W145" i="5"/>
  <c r="X145" i="5"/>
  <c r="W146" i="5"/>
  <c r="X146" i="5"/>
  <c r="W147" i="5"/>
  <c r="X147" i="5"/>
  <c r="W148" i="5"/>
  <c r="X148" i="5"/>
  <c r="W149" i="5"/>
  <c r="X149" i="5"/>
  <c r="W150" i="5"/>
  <c r="X150" i="5"/>
  <c r="W151" i="5"/>
  <c r="X151" i="5"/>
  <c r="W152" i="5"/>
  <c r="X152" i="5"/>
  <c r="W153" i="5"/>
  <c r="X153" i="5"/>
  <c r="W154" i="5"/>
  <c r="X154" i="5"/>
  <c r="W155" i="5"/>
  <c r="X155" i="5"/>
  <c r="W156" i="5"/>
  <c r="X156" i="5"/>
  <c r="W157" i="5"/>
  <c r="X157" i="5"/>
  <c r="W158" i="5"/>
  <c r="X158" i="5"/>
  <c r="W159" i="5"/>
  <c r="X159" i="5"/>
  <c r="W160" i="5"/>
  <c r="X160" i="5"/>
  <c r="W161" i="5"/>
  <c r="X161" i="5"/>
  <c r="W162" i="5"/>
  <c r="X162" i="5"/>
  <c r="W163" i="5"/>
  <c r="X163" i="5"/>
  <c r="W164" i="5"/>
  <c r="X164" i="5"/>
  <c r="W165" i="5"/>
  <c r="X165" i="5"/>
  <c r="W166" i="5"/>
  <c r="X166" i="5"/>
  <c r="W167" i="5"/>
  <c r="X167" i="5"/>
  <c r="W168" i="5"/>
  <c r="X168" i="5"/>
  <c r="W169" i="5"/>
  <c r="X169" i="5"/>
  <c r="W170" i="5"/>
  <c r="X170" i="5"/>
  <c r="W171" i="5"/>
  <c r="X171" i="5"/>
  <c r="W172" i="5"/>
  <c r="X172" i="5"/>
  <c r="W173" i="5"/>
  <c r="X173" i="5"/>
  <c r="W174" i="5"/>
  <c r="X174" i="5"/>
  <c r="W175" i="5"/>
  <c r="X175" i="5"/>
  <c r="W176" i="5"/>
  <c r="X176" i="5"/>
  <c r="W11" i="5"/>
  <c r="X11" i="5"/>
  <c r="W60" i="5"/>
  <c r="X60" i="5"/>
  <c r="W59" i="5"/>
  <c r="X59" i="5"/>
  <c r="W102" i="5"/>
  <c r="X102" i="5"/>
  <c r="W120" i="5"/>
  <c r="X120" i="5"/>
  <c r="W177" i="5"/>
  <c r="X177" i="5"/>
  <c r="W178" i="5"/>
  <c r="X178" i="5"/>
  <c r="W179" i="5"/>
  <c r="X179" i="5"/>
  <c r="W180" i="5"/>
  <c r="X180" i="5"/>
  <c r="W181" i="5"/>
  <c r="X181" i="5"/>
  <c r="W182" i="5"/>
  <c r="X182" i="5"/>
  <c r="W183" i="5"/>
  <c r="X183" i="5"/>
  <c r="W184" i="5"/>
  <c r="X184" i="5"/>
  <c r="W185" i="5"/>
  <c r="X185" i="5"/>
  <c r="W186" i="5"/>
  <c r="X186" i="5"/>
  <c r="W187" i="5"/>
  <c r="X187" i="5"/>
  <c r="W188" i="5"/>
  <c r="X188" i="5"/>
  <c r="W189" i="5"/>
  <c r="X189" i="5"/>
  <c r="W190" i="5"/>
  <c r="X190" i="5"/>
  <c r="W191" i="5"/>
  <c r="X191" i="5"/>
  <c r="W192" i="5"/>
  <c r="X192" i="5"/>
  <c r="W193" i="5"/>
  <c r="X193" i="5"/>
  <c r="W194" i="5"/>
  <c r="X194" i="5"/>
  <c r="W195" i="5"/>
  <c r="X195" i="5"/>
  <c r="W196" i="5"/>
  <c r="X196" i="5"/>
  <c r="W197" i="5"/>
  <c r="X197" i="5"/>
  <c r="W198" i="5"/>
  <c r="X198" i="5"/>
  <c r="W199" i="5"/>
  <c r="X199" i="5"/>
  <c r="W200" i="5"/>
  <c r="X200" i="5"/>
  <c r="X3" i="5"/>
  <c r="W3" i="5"/>
  <c r="C56" i="13" l="1"/>
  <c r="C58" i="13"/>
  <c r="C60" i="13"/>
  <c r="C62" i="13"/>
  <c r="C64" i="13"/>
  <c r="C66" i="13"/>
  <c r="C68" i="13"/>
  <c r="C70" i="13"/>
  <c r="C72" i="13"/>
  <c r="C74" i="13"/>
  <c r="C76" i="13"/>
  <c r="C78" i="13"/>
  <c r="C80" i="13"/>
  <c r="C82" i="13"/>
  <c r="C84" i="13"/>
  <c r="C86" i="13"/>
  <c r="C88" i="13"/>
  <c r="C90" i="13"/>
  <c r="C92" i="13"/>
  <c r="C94" i="13"/>
  <c r="C96" i="13"/>
  <c r="C98" i="13"/>
  <c r="C100" i="13"/>
  <c r="B6" i="13"/>
  <c r="C6" i="13" s="1"/>
  <c r="B7" i="13"/>
  <c r="C7" i="13" s="1"/>
  <c r="B8" i="13"/>
  <c r="C8" i="13" s="1"/>
  <c r="B9" i="13"/>
  <c r="C9" i="13" s="1"/>
  <c r="B10" i="13"/>
  <c r="C10" i="13" s="1"/>
  <c r="B11" i="13"/>
  <c r="C11" i="13" s="1"/>
  <c r="B12" i="13"/>
  <c r="C12" i="13" s="1"/>
  <c r="B13" i="13"/>
  <c r="C13" i="13" s="1"/>
  <c r="B14" i="13"/>
  <c r="C14" i="13" s="1"/>
  <c r="B15" i="13"/>
  <c r="C15" i="13" s="1"/>
  <c r="B16" i="13"/>
  <c r="C16" i="13" s="1"/>
  <c r="B17" i="13"/>
  <c r="C17" i="13" s="1"/>
  <c r="B18" i="13"/>
  <c r="C18" i="13" s="1"/>
  <c r="B19" i="13"/>
  <c r="C19" i="13" s="1"/>
  <c r="B20" i="13"/>
  <c r="C20" i="13" s="1"/>
  <c r="B21" i="13"/>
  <c r="C21" i="13" s="1"/>
  <c r="B22" i="13"/>
  <c r="C22" i="13" s="1"/>
  <c r="B23" i="13"/>
  <c r="C23" i="13" s="1"/>
  <c r="B24" i="13"/>
  <c r="C24" i="13" s="1"/>
  <c r="B25" i="13"/>
  <c r="C25" i="13" s="1"/>
  <c r="B26" i="13"/>
  <c r="C26" i="13" s="1"/>
  <c r="B27" i="13"/>
  <c r="C27" i="13" s="1"/>
  <c r="B28" i="13"/>
  <c r="C28" i="13" s="1"/>
  <c r="B29" i="13"/>
  <c r="C29" i="13" s="1"/>
  <c r="B30" i="13"/>
  <c r="C30" i="13" s="1"/>
  <c r="B31" i="13"/>
  <c r="C31" i="13" s="1"/>
  <c r="B32" i="13"/>
  <c r="C32" i="13" s="1"/>
  <c r="B33" i="13"/>
  <c r="C33" i="13" s="1"/>
  <c r="B34" i="13"/>
  <c r="C34" i="13" s="1"/>
  <c r="B35" i="13"/>
  <c r="C35" i="13" s="1"/>
  <c r="B36" i="13"/>
  <c r="C36" i="13" s="1"/>
  <c r="B37" i="13"/>
  <c r="C37" i="13" s="1"/>
  <c r="B38" i="13"/>
  <c r="C38" i="13" s="1"/>
  <c r="B39" i="13"/>
  <c r="C39" i="13" s="1"/>
  <c r="B40" i="13"/>
  <c r="C40" i="13" s="1"/>
  <c r="B41" i="13"/>
  <c r="C41" i="13" s="1"/>
  <c r="B42" i="13"/>
  <c r="C42" i="13" s="1"/>
  <c r="B43" i="13"/>
  <c r="C43" i="13" s="1"/>
  <c r="B44" i="13"/>
  <c r="C44" i="13" s="1"/>
  <c r="B45" i="13"/>
  <c r="C45" i="13" s="1"/>
  <c r="B46" i="13"/>
  <c r="C46" i="13" s="1"/>
  <c r="B47" i="13"/>
  <c r="C47" i="13" s="1"/>
  <c r="B48" i="13"/>
  <c r="C48" i="13" s="1"/>
  <c r="B49" i="13"/>
  <c r="C49" i="13" s="1"/>
  <c r="B50" i="13"/>
  <c r="C50" i="13" s="1"/>
  <c r="B51" i="13"/>
  <c r="C51" i="13" s="1"/>
  <c r="B52" i="13"/>
  <c r="C52" i="13" s="1"/>
  <c r="B53" i="13"/>
  <c r="C53" i="13" s="1"/>
  <c r="B54" i="13"/>
  <c r="C54" i="13" s="1"/>
  <c r="B55" i="13"/>
  <c r="C55" i="13" s="1"/>
  <c r="B56" i="13"/>
  <c r="B57" i="13"/>
  <c r="C57" i="13" s="1"/>
  <c r="B58" i="13"/>
  <c r="B59" i="13"/>
  <c r="C59" i="13" s="1"/>
  <c r="B60" i="13"/>
  <c r="B61" i="13"/>
  <c r="C61" i="13" s="1"/>
  <c r="B62" i="13"/>
  <c r="B63" i="13"/>
  <c r="C63" i="13" s="1"/>
  <c r="B64" i="13"/>
  <c r="B65" i="13"/>
  <c r="C65" i="13" s="1"/>
  <c r="B66" i="13"/>
  <c r="B67" i="13"/>
  <c r="C67" i="13" s="1"/>
  <c r="B68" i="13"/>
  <c r="B69" i="13"/>
  <c r="C69" i="13" s="1"/>
  <c r="B70" i="13"/>
  <c r="B71" i="13"/>
  <c r="C71" i="13" s="1"/>
  <c r="B72" i="13"/>
  <c r="B73" i="13"/>
  <c r="C73" i="13" s="1"/>
  <c r="B74" i="13"/>
  <c r="B75" i="13"/>
  <c r="C75" i="13" s="1"/>
  <c r="B76" i="13"/>
  <c r="B77" i="13"/>
  <c r="C77" i="13" s="1"/>
  <c r="B78" i="13"/>
  <c r="B79" i="13"/>
  <c r="C79" i="13" s="1"/>
  <c r="B80" i="13"/>
  <c r="B81" i="13"/>
  <c r="C81" i="13" s="1"/>
  <c r="B82" i="13"/>
  <c r="B83" i="13"/>
  <c r="C83" i="13" s="1"/>
  <c r="B84" i="13"/>
  <c r="B85" i="13"/>
  <c r="C85" i="13" s="1"/>
  <c r="B86" i="13"/>
  <c r="B87" i="13"/>
  <c r="C87" i="13" s="1"/>
  <c r="B88" i="13"/>
  <c r="B89" i="13"/>
  <c r="C89" i="13" s="1"/>
  <c r="B90" i="13"/>
  <c r="B91" i="13"/>
  <c r="C91" i="13" s="1"/>
  <c r="B92" i="13"/>
  <c r="B93" i="13"/>
  <c r="C93" i="13" s="1"/>
  <c r="B94" i="13"/>
  <c r="B95" i="13"/>
  <c r="C95" i="13" s="1"/>
  <c r="B96" i="13"/>
  <c r="B97" i="13"/>
  <c r="C97" i="13" s="1"/>
  <c r="B98" i="13"/>
  <c r="B99" i="13"/>
  <c r="C99" i="13" s="1"/>
  <c r="B100" i="13"/>
  <c r="B5" i="13"/>
  <c r="C5" i="13" s="1"/>
  <c r="C54" i="12" l="1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5" i="12"/>
  <c r="B6" i="12"/>
  <c r="C6" i="12" s="1"/>
  <c r="B7" i="12"/>
  <c r="C7" i="12" s="1"/>
  <c r="B8" i="12"/>
  <c r="C8" i="12" s="1"/>
  <c r="B9" i="12"/>
  <c r="C9" i="12" s="1"/>
  <c r="B10" i="12"/>
  <c r="C10" i="12" s="1"/>
  <c r="B11" i="12"/>
  <c r="C11" i="12" s="1"/>
  <c r="B12" i="12"/>
  <c r="C12" i="12" s="1"/>
  <c r="B13" i="12"/>
  <c r="C13" i="12" s="1"/>
  <c r="B14" i="12"/>
  <c r="C14" i="12" s="1"/>
  <c r="B15" i="12"/>
  <c r="C15" i="12" s="1"/>
  <c r="B16" i="12"/>
  <c r="C16" i="12" s="1"/>
  <c r="B17" i="12"/>
  <c r="C17" i="12" s="1"/>
  <c r="B18" i="12"/>
  <c r="C18" i="12" s="1"/>
  <c r="B19" i="12"/>
  <c r="C19" i="12" s="1"/>
  <c r="B20" i="12"/>
  <c r="C20" i="12" s="1"/>
  <c r="B21" i="12"/>
  <c r="C21" i="12" s="1"/>
  <c r="B22" i="12"/>
  <c r="C22" i="12" s="1"/>
  <c r="B23" i="12"/>
  <c r="C23" i="12" s="1"/>
  <c r="B24" i="12"/>
  <c r="C24" i="12" s="1"/>
  <c r="B25" i="12"/>
  <c r="C25" i="12" s="1"/>
  <c r="B26" i="12"/>
  <c r="C26" i="12" s="1"/>
  <c r="B27" i="12"/>
  <c r="C27" i="12" s="1"/>
  <c r="B28" i="12"/>
  <c r="C28" i="12" s="1"/>
  <c r="B29" i="12"/>
  <c r="C29" i="12" s="1"/>
  <c r="B30" i="12"/>
  <c r="C30" i="12" s="1"/>
  <c r="B31" i="12"/>
  <c r="C31" i="12" s="1"/>
  <c r="B32" i="12"/>
  <c r="C32" i="12" s="1"/>
  <c r="B33" i="12"/>
  <c r="C33" i="12" s="1"/>
  <c r="B34" i="12"/>
  <c r="C34" i="12" s="1"/>
  <c r="B35" i="12"/>
  <c r="C35" i="12" s="1"/>
  <c r="B36" i="12"/>
  <c r="C36" i="12" s="1"/>
  <c r="B37" i="12"/>
  <c r="C37" i="12" s="1"/>
  <c r="B38" i="12"/>
  <c r="C38" i="12" s="1"/>
  <c r="B39" i="12"/>
  <c r="C39" i="12" s="1"/>
  <c r="B40" i="12"/>
  <c r="C40" i="12" s="1"/>
  <c r="B41" i="12"/>
  <c r="C41" i="12" s="1"/>
  <c r="B42" i="12"/>
  <c r="C42" i="12" s="1"/>
  <c r="B43" i="12"/>
  <c r="C43" i="12" s="1"/>
  <c r="B44" i="12"/>
  <c r="C44" i="12" s="1"/>
  <c r="B45" i="12"/>
  <c r="C45" i="12" s="1"/>
  <c r="B46" i="12"/>
  <c r="C46" i="12" s="1"/>
  <c r="B47" i="12"/>
  <c r="C47" i="12" s="1"/>
  <c r="B48" i="12"/>
  <c r="C48" i="12" s="1"/>
  <c r="B49" i="12"/>
  <c r="C49" i="12" s="1"/>
  <c r="B50" i="12"/>
  <c r="C50" i="12" s="1"/>
  <c r="B51" i="12"/>
  <c r="C51" i="12" s="1"/>
  <c r="B52" i="12"/>
  <c r="C52" i="12" s="1"/>
  <c r="B53" i="12"/>
  <c r="C53" i="12" s="1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5" i="12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5" i="11"/>
  <c r="B6" i="11"/>
  <c r="C6" i="11" s="1"/>
  <c r="B7" i="11"/>
  <c r="C7" i="11" s="1"/>
  <c r="B8" i="11"/>
  <c r="C8" i="11" s="1"/>
  <c r="B9" i="11"/>
  <c r="C9" i="11" s="1"/>
  <c r="B10" i="11"/>
  <c r="C10" i="11" s="1"/>
  <c r="B11" i="11"/>
  <c r="C11" i="11" s="1"/>
  <c r="B12" i="11"/>
  <c r="C12" i="11" s="1"/>
  <c r="B13" i="11"/>
  <c r="C13" i="11" s="1"/>
  <c r="B14" i="11"/>
  <c r="C14" i="11" s="1"/>
  <c r="B15" i="11"/>
  <c r="C15" i="11" s="1"/>
  <c r="B16" i="11"/>
  <c r="C16" i="11" s="1"/>
  <c r="B17" i="11"/>
  <c r="C17" i="11" s="1"/>
  <c r="B18" i="11"/>
  <c r="C18" i="11" s="1"/>
  <c r="B19" i="11"/>
  <c r="C19" i="11" s="1"/>
  <c r="B20" i="11"/>
  <c r="C20" i="11" s="1"/>
  <c r="B21" i="11"/>
  <c r="C21" i="11" s="1"/>
  <c r="B22" i="11"/>
  <c r="C22" i="11" s="1"/>
  <c r="B23" i="11"/>
  <c r="C23" i="11" s="1"/>
  <c r="B24" i="11"/>
  <c r="C24" i="11" s="1"/>
  <c r="B25" i="11"/>
  <c r="C25" i="11" s="1"/>
  <c r="B26" i="11"/>
  <c r="C26" i="11" s="1"/>
  <c r="B27" i="11"/>
  <c r="C27" i="11" s="1"/>
  <c r="B28" i="11"/>
  <c r="C28" i="11" s="1"/>
  <c r="B29" i="11"/>
  <c r="C29" i="11" s="1"/>
  <c r="B30" i="11"/>
  <c r="C30" i="11" s="1"/>
  <c r="B31" i="11"/>
  <c r="C31" i="11" s="1"/>
  <c r="B32" i="11"/>
  <c r="C32" i="11" s="1"/>
  <c r="B33" i="11"/>
  <c r="C33" i="11" s="1"/>
  <c r="B34" i="11"/>
  <c r="C34" i="11" s="1"/>
  <c r="B35" i="11"/>
  <c r="C35" i="11" s="1"/>
  <c r="B36" i="11"/>
  <c r="C36" i="11" s="1"/>
  <c r="B37" i="11"/>
  <c r="C37" i="11" s="1"/>
  <c r="B38" i="11"/>
  <c r="C38" i="11" s="1"/>
  <c r="B39" i="11"/>
  <c r="C39" i="11" s="1"/>
  <c r="B40" i="11"/>
  <c r="C40" i="11" s="1"/>
  <c r="B41" i="11"/>
  <c r="C41" i="11" s="1"/>
  <c r="B42" i="11"/>
  <c r="C42" i="11" s="1"/>
  <c r="B43" i="11"/>
  <c r="C43" i="11" s="1"/>
  <c r="B44" i="11"/>
  <c r="C44" i="11" s="1"/>
  <c r="B45" i="11"/>
  <c r="C45" i="11" s="1"/>
  <c r="B46" i="11"/>
  <c r="C46" i="11" s="1"/>
  <c r="B47" i="11"/>
  <c r="C47" i="11" s="1"/>
  <c r="B48" i="11"/>
  <c r="C48" i="11" s="1"/>
  <c r="B49" i="11"/>
  <c r="C49" i="11" s="1"/>
  <c r="B50" i="11"/>
  <c r="C50" i="11" s="1"/>
  <c r="B51" i="11"/>
  <c r="C51" i="11" s="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5" i="11"/>
  <c r="B6" i="10"/>
  <c r="B7" i="10"/>
  <c r="B8" i="10"/>
  <c r="B9" i="10"/>
  <c r="B10" i="10"/>
  <c r="B11" i="10"/>
  <c r="B12" i="10"/>
  <c r="C12" i="10" s="1"/>
  <c r="B13" i="10"/>
  <c r="B14" i="10"/>
  <c r="B15" i="10"/>
  <c r="C15" i="10" s="1"/>
  <c r="B16" i="10"/>
  <c r="B17" i="10"/>
  <c r="C17" i="10" s="1"/>
  <c r="B18" i="10"/>
  <c r="C18" i="10" s="1"/>
  <c r="B19" i="10"/>
  <c r="C19" i="10" s="1"/>
  <c r="B20" i="10"/>
  <c r="C20" i="10" s="1"/>
  <c r="B21" i="10"/>
  <c r="C21" i="10" s="1"/>
  <c r="B22" i="10"/>
  <c r="B23" i="10"/>
  <c r="B24" i="10"/>
  <c r="B25" i="10"/>
  <c r="C25" i="10" s="1"/>
  <c r="B26" i="10"/>
  <c r="C26" i="10" s="1"/>
  <c r="B27" i="10"/>
  <c r="C27" i="10" s="1"/>
  <c r="B28" i="10"/>
  <c r="C28" i="10" s="1"/>
  <c r="B29" i="10"/>
  <c r="B30" i="10"/>
  <c r="B31" i="10"/>
  <c r="C31" i="10" s="1"/>
  <c r="B32" i="10"/>
  <c r="B33" i="10"/>
  <c r="C33" i="10" s="1"/>
  <c r="B34" i="10"/>
  <c r="C34" i="10" s="1"/>
  <c r="B35" i="10"/>
  <c r="C35" i="10" s="1"/>
  <c r="B36" i="10"/>
  <c r="C36" i="10" s="1"/>
  <c r="B37" i="10"/>
  <c r="C37" i="10" s="1"/>
  <c r="B38" i="10"/>
  <c r="B39" i="10"/>
  <c r="B40" i="10"/>
  <c r="B41" i="10"/>
  <c r="C41" i="10" s="1"/>
  <c r="B42" i="10"/>
  <c r="C42" i="10" s="1"/>
  <c r="B43" i="10"/>
  <c r="C43" i="10" s="1"/>
  <c r="B44" i="10"/>
  <c r="C44" i="10" s="1"/>
  <c r="B45" i="10"/>
  <c r="B46" i="10"/>
  <c r="B47" i="10"/>
  <c r="C47" i="10" s="1"/>
  <c r="B48" i="10"/>
  <c r="B49" i="10"/>
  <c r="C49" i="10" s="1"/>
  <c r="B50" i="10"/>
  <c r="C50" i="10" s="1"/>
  <c r="B51" i="10"/>
  <c r="C51" i="10" s="1"/>
  <c r="B52" i="10"/>
  <c r="C52" i="10" s="1"/>
  <c r="B53" i="10"/>
  <c r="B54" i="10"/>
  <c r="B55" i="10"/>
  <c r="B56" i="10"/>
  <c r="B57" i="10"/>
  <c r="B58" i="10"/>
  <c r="B59" i="10"/>
  <c r="B60" i="10"/>
  <c r="C60" i="10" s="1"/>
  <c r="B61" i="10"/>
  <c r="B62" i="10"/>
  <c r="B63" i="10"/>
  <c r="B64" i="10"/>
  <c r="B65" i="10"/>
  <c r="B66" i="10"/>
  <c r="B67" i="10"/>
  <c r="B68" i="10"/>
  <c r="C68" i="10" s="1"/>
  <c r="B69" i="10"/>
  <c r="B70" i="10"/>
  <c r="B71" i="10"/>
  <c r="B72" i="10"/>
  <c r="B73" i="10"/>
  <c r="B74" i="10"/>
  <c r="B75" i="10"/>
  <c r="B76" i="10"/>
  <c r="C76" i="10" s="1"/>
  <c r="B77" i="10"/>
  <c r="B78" i="10"/>
  <c r="B79" i="10"/>
  <c r="B80" i="10"/>
  <c r="B81" i="10"/>
  <c r="B82" i="10"/>
  <c r="B83" i="10"/>
  <c r="B84" i="10"/>
  <c r="C84" i="10" s="1"/>
  <c r="B85" i="10"/>
  <c r="B86" i="10"/>
  <c r="B87" i="10"/>
  <c r="B88" i="10"/>
  <c r="B89" i="10"/>
  <c r="B90" i="10"/>
  <c r="B91" i="10"/>
  <c r="B92" i="10"/>
  <c r="C92" i="10" s="1"/>
  <c r="B93" i="10"/>
  <c r="B94" i="10"/>
  <c r="B95" i="10"/>
  <c r="B96" i="10"/>
  <c r="B97" i="10"/>
  <c r="B98" i="10"/>
  <c r="B99" i="10"/>
  <c r="B100" i="10"/>
  <c r="C100" i="10" s="1"/>
  <c r="B5" i="10"/>
  <c r="C5" i="10" s="1"/>
  <c r="C6" i="10"/>
  <c r="C7" i="10"/>
  <c r="C8" i="10"/>
  <c r="C9" i="10"/>
  <c r="C10" i="10"/>
  <c r="C11" i="10"/>
  <c r="C13" i="10"/>
  <c r="C14" i="10"/>
  <c r="C16" i="10"/>
  <c r="C22" i="10"/>
  <c r="C23" i="10"/>
  <c r="C24" i="10"/>
  <c r="C29" i="10"/>
  <c r="C30" i="10"/>
  <c r="C32" i="10"/>
  <c r="C38" i="10"/>
  <c r="C39" i="10"/>
  <c r="C40" i="10"/>
  <c r="C45" i="10"/>
  <c r="C46" i="10"/>
  <c r="C48" i="10"/>
  <c r="C53" i="10"/>
  <c r="C54" i="10"/>
  <c r="C55" i="10"/>
  <c r="C56" i="10"/>
  <c r="C57" i="10"/>
  <c r="C58" i="10"/>
  <c r="C59" i="10"/>
  <c r="C61" i="10"/>
  <c r="C62" i="10"/>
  <c r="C63" i="10"/>
  <c r="C64" i="10"/>
  <c r="C65" i="10"/>
  <c r="C66" i="10"/>
  <c r="C67" i="10"/>
  <c r="C69" i="10"/>
  <c r="C70" i="10"/>
  <c r="C71" i="10"/>
  <c r="C72" i="10"/>
  <c r="C73" i="10"/>
  <c r="C74" i="10"/>
  <c r="C75" i="10"/>
  <c r="C77" i="10"/>
  <c r="C78" i="10"/>
  <c r="C79" i="10"/>
  <c r="C80" i="10"/>
  <c r="C81" i="10"/>
  <c r="C82" i="10"/>
  <c r="C83" i="10"/>
  <c r="C85" i="10"/>
  <c r="C86" i="10"/>
  <c r="C87" i="10"/>
  <c r="C88" i="10"/>
  <c r="C89" i="10"/>
  <c r="C90" i="10"/>
  <c r="C91" i="10"/>
  <c r="C93" i="10"/>
  <c r="C94" i="10"/>
  <c r="C95" i="10"/>
  <c r="C96" i="10"/>
  <c r="C97" i="10"/>
  <c r="C98" i="10"/>
  <c r="C99" i="10"/>
  <c r="B6" i="3"/>
  <c r="C6" i="3" s="1"/>
  <c r="B7" i="3"/>
  <c r="C7" i="3" s="1"/>
  <c r="B8" i="3"/>
  <c r="C8" i="3" s="1"/>
  <c r="B9" i="3"/>
  <c r="C9" i="3" s="1"/>
  <c r="B10" i="3"/>
  <c r="C10" i="3" s="1"/>
  <c r="B11" i="3"/>
  <c r="C11" i="3" s="1"/>
  <c r="B12" i="3"/>
  <c r="C12" i="3" s="1"/>
  <c r="B13" i="3"/>
  <c r="C13" i="3" s="1"/>
  <c r="B14" i="3"/>
  <c r="C14" i="3" s="1"/>
  <c r="B15" i="3"/>
  <c r="C15" i="3" s="1"/>
  <c r="B16" i="3"/>
  <c r="C16" i="3" s="1"/>
  <c r="B17" i="3"/>
  <c r="C17" i="3" s="1"/>
  <c r="B18" i="3"/>
  <c r="C18" i="3" s="1"/>
  <c r="B19" i="3"/>
  <c r="C19" i="3" s="1"/>
  <c r="B20" i="3"/>
  <c r="C20" i="3" s="1"/>
  <c r="B21" i="3"/>
  <c r="C21" i="3" s="1"/>
  <c r="B22" i="3"/>
  <c r="C22" i="3" s="1"/>
  <c r="B23" i="3"/>
  <c r="C23" i="3" s="1"/>
  <c r="B24" i="3"/>
  <c r="C24" i="3" s="1"/>
  <c r="B25" i="3"/>
  <c r="C25" i="3" s="1"/>
  <c r="B26" i="3"/>
  <c r="C26" i="3" s="1"/>
  <c r="B27" i="3"/>
  <c r="C27" i="3" s="1"/>
  <c r="B28" i="3"/>
  <c r="C28" i="3" s="1"/>
  <c r="B29" i="3"/>
  <c r="C29" i="3" s="1"/>
  <c r="B30" i="3"/>
  <c r="C30" i="3" s="1"/>
  <c r="B31" i="3"/>
  <c r="C31" i="3" s="1"/>
  <c r="B32" i="3"/>
  <c r="C32" i="3" s="1"/>
  <c r="B33" i="3"/>
  <c r="C33" i="3" s="1"/>
  <c r="B34" i="3"/>
  <c r="C34" i="3" s="1"/>
  <c r="B35" i="3"/>
  <c r="C35" i="3" s="1"/>
  <c r="B36" i="3"/>
  <c r="C36" i="3" s="1"/>
  <c r="B37" i="3"/>
  <c r="C37" i="3" s="1"/>
  <c r="B38" i="3"/>
  <c r="C38" i="3" s="1"/>
  <c r="B39" i="3"/>
  <c r="C39" i="3" s="1"/>
  <c r="B40" i="3"/>
  <c r="C40" i="3" s="1"/>
  <c r="B41" i="3"/>
  <c r="C41" i="3" s="1"/>
  <c r="B42" i="3"/>
  <c r="C42" i="3" s="1"/>
  <c r="B43" i="3"/>
  <c r="C43" i="3" s="1"/>
  <c r="B44" i="3"/>
  <c r="C44" i="3" s="1"/>
  <c r="B45" i="3"/>
  <c r="C45" i="3" s="1"/>
  <c r="B46" i="3"/>
  <c r="C46" i="3" s="1"/>
  <c r="B47" i="3"/>
  <c r="C47" i="3" s="1"/>
  <c r="B48" i="3"/>
  <c r="C48" i="3" s="1"/>
  <c r="B49" i="3"/>
  <c r="C49" i="3" s="1"/>
  <c r="B50" i="3"/>
  <c r="C50" i="3" s="1"/>
  <c r="B51" i="3"/>
  <c r="C51" i="3" s="1"/>
  <c r="B52" i="3"/>
  <c r="C52" i="3" s="1"/>
  <c r="B53" i="3"/>
  <c r="C53" i="3" s="1"/>
  <c r="B54" i="3"/>
  <c r="C54" i="3" s="1"/>
  <c r="B55" i="3"/>
  <c r="C55" i="3" s="1"/>
  <c r="B56" i="3"/>
  <c r="C56" i="3" s="1"/>
  <c r="B57" i="3"/>
  <c r="C57" i="3" s="1"/>
  <c r="B58" i="3"/>
  <c r="C58" i="3" s="1"/>
  <c r="B59" i="3"/>
  <c r="C59" i="3" s="1"/>
  <c r="B60" i="3"/>
  <c r="C60" i="3" s="1"/>
  <c r="B61" i="3"/>
  <c r="C61" i="3" s="1"/>
  <c r="B62" i="3"/>
  <c r="C62" i="3" s="1"/>
  <c r="B63" i="3"/>
  <c r="C63" i="3" s="1"/>
  <c r="B64" i="3"/>
  <c r="C64" i="3" s="1"/>
  <c r="B65" i="3"/>
  <c r="C65" i="3" s="1"/>
  <c r="B66" i="3"/>
  <c r="C66" i="3" s="1"/>
  <c r="B67" i="3"/>
  <c r="C67" i="3" s="1"/>
  <c r="B68" i="3"/>
  <c r="C68" i="3" s="1"/>
  <c r="B69" i="3"/>
  <c r="C69" i="3" s="1"/>
  <c r="B70" i="3"/>
  <c r="C70" i="3" s="1"/>
  <c r="B71" i="3"/>
  <c r="C71" i="3" s="1"/>
  <c r="B72" i="3"/>
  <c r="C72" i="3" s="1"/>
  <c r="B73" i="3"/>
  <c r="C73" i="3" s="1"/>
  <c r="B74" i="3"/>
  <c r="C74" i="3" s="1"/>
  <c r="B75" i="3"/>
  <c r="C75" i="3" s="1"/>
  <c r="B76" i="3"/>
  <c r="C76" i="3" s="1"/>
  <c r="B77" i="3"/>
  <c r="C77" i="3" s="1"/>
  <c r="B78" i="3"/>
  <c r="C78" i="3" s="1"/>
  <c r="B79" i="3"/>
  <c r="C79" i="3" s="1"/>
  <c r="B80" i="3"/>
  <c r="C80" i="3" s="1"/>
  <c r="B81" i="3"/>
  <c r="C81" i="3" s="1"/>
  <c r="B82" i="3"/>
  <c r="C82" i="3" s="1"/>
  <c r="B83" i="3"/>
  <c r="C83" i="3" s="1"/>
  <c r="B84" i="3"/>
  <c r="C84" i="3" s="1"/>
  <c r="B85" i="3"/>
  <c r="C85" i="3" s="1"/>
  <c r="B86" i="3"/>
  <c r="C86" i="3" s="1"/>
  <c r="B87" i="3"/>
  <c r="C87" i="3" s="1"/>
  <c r="B88" i="3"/>
  <c r="C88" i="3" s="1"/>
  <c r="B89" i="3"/>
  <c r="C89" i="3" s="1"/>
  <c r="B90" i="3"/>
  <c r="C90" i="3" s="1"/>
  <c r="B91" i="3"/>
  <c r="C91" i="3" s="1"/>
  <c r="B92" i="3"/>
  <c r="C92" i="3" s="1"/>
  <c r="B93" i="3"/>
  <c r="C93" i="3" s="1"/>
  <c r="B94" i="3"/>
  <c r="C94" i="3" s="1"/>
  <c r="B95" i="3"/>
  <c r="C95" i="3" s="1"/>
  <c r="B96" i="3"/>
  <c r="C96" i="3" s="1"/>
  <c r="B97" i="3"/>
  <c r="C97" i="3" s="1"/>
  <c r="B98" i="3"/>
  <c r="C98" i="3" s="1"/>
  <c r="B99" i="3"/>
  <c r="C99" i="3" s="1"/>
  <c r="B100" i="3"/>
  <c r="C100" i="3" s="1"/>
  <c r="B5" i="3"/>
  <c r="C5" i="3" s="1"/>
</calcChain>
</file>

<file path=xl/sharedStrings.xml><?xml version="1.0" encoding="utf-8"?>
<sst xmlns="http://schemas.openxmlformats.org/spreadsheetml/2006/main" count="1986" uniqueCount="450">
  <si>
    <t>Toiture</t>
  </si>
  <si>
    <t>0010</t>
  </si>
  <si>
    <t>0020</t>
  </si>
  <si>
    <t>0030</t>
  </si>
  <si>
    <t>0040</t>
  </si>
  <si>
    <t>0050</t>
  </si>
  <si>
    <t>0060</t>
  </si>
  <si>
    <t>1010</t>
  </si>
  <si>
    <t>1020</t>
  </si>
  <si>
    <t>1030</t>
  </si>
  <si>
    <t>1040</t>
  </si>
  <si>
    <t>1050</t>
  </si>
  <si>
    <t>1060</t>
  </si>
  <si>
    <t>1070</t>
  </si>
  <si>
    <t>1080</t>
  </si>
  <si>
    <t>1090</t>
  </si>
  <si>
    <t>2010</t>
  </si>
  <si>
    <t>2020</t>
  </si>
  <si>
    <t>2030</t>
  </si>
  <si>
    <t>2040</t>
  </si>
  <si>
    <t>2050</t>
  </si>
  <si>
    <t>2060</t>
  </si>
  <si>
    <t>3010</t>
  </si>
  <si>
    <t>3020</t>
  </si>
  <si>
    <t>3030</t>
  </si>
  <si>
    <t>3040</t>
  </si>
  <si>
    <t>3050</t>
  </si>
  <si>
    <t>3055</t>
  </si>
  <si>
    <t>3060</t>
  </si>
  <si>
    <t>3100</t>
  </si>
  <si>
    <t>3110</t>
  </si>
  <si>
    <t>4010</t>
  </si>
  <si>
    <t>4020</t>
  </si>
  <si>
    <t>4030</t>
  </si>
  <si>
    <t>5010</t>
  </si>
  <si>
    <t>5020</t>
  </si>
  <si>
    <t>7010</t>
  </si>
  <si>
    <t>7020</t>
  </si>
  <si>
    <t>7030</t>
  </si>
  <si>
    <t>7040</t>
  </si>
  <si>
    <t>PLAN DE MASSE / SITUATION DU SITE / VUE AERIENNE</t>
  </si>
  <si>
    <t>PARCELLES CADASTRALES</t>
  </si>
  <si>
    <t>TOPOGRAPHIE - RELEVE TOITURE</t>
  </si>
  <si>
    <t>RESEAUX ET VRD</t>
  </si>
  <si>
    <t>SCHEMAS ELECTRIQUES</t>
  </si>
  <si>
    <t>BÂTIMENT - CHARPENTE ET COUVERTURE / ETANCHEITE</t>
  </si>
  <si>
    <t>ENJEUX ADMINISTRATIFS ET ENVIRONNEMENTAUX - [ACCES ET DISPOSITIFS POUR SECURITE INCENDIE]/[DGAC - ANALYSE DE LA GENE VISUELLE]</t>
  </si>
  <si>
    <t>IMPLANTATION GENERALE DU GENERATEUR PV</t>
  </si>
  <si>
    <t>CALEPINAGE DES MODULES PV</t>
  </si>
  <si>
    <t>GESTION DES OMBRAGES</t>
  </si>
  <si>
    <t>REPARTITION DES CHAMPS PV</t>
  </si>
  <si>
    <t>IMPLANTATION STATION METEO</t>
  </si>
  <si>
    <t>IMPLANTATION DU PROCEDE PV - SYSTÈME DE FIXATION DES MODULES</t>
  </si>
  <si>
    <t xml:space="preserve">IMPLANTATION DU PROCEDE PV - DENSITE DES ANCRAGES </t>
  </si>
  <si>
    <t>IMPLANTATION DU PROCEDE PV - REPARTITION DES RAILS EN TOITURE</t>
  </si>
  <si>
    <t>SCHEMA UNIFILAIRE GENERAL</t>
  </si>
  <si>
    <t>SCHEMA UNIFILAIRE HTA</t>
  </si>
  <si>
    <t>SCHEMA UNIFILAIRE  DES AUXILIAIRES</t>
  </si>
  <si>
    <t>SCHEMA UNIFILAIRE  DE COMMUNICATION</t>
  </si>
  <si>
    <t>CABLAGE GENERAL CFo</t>
  </si>
  <si>
    <t>CABLAGE GENERAL CFa</t>
  </si>
  <si>
    <t>CABLAGE CC DES CHAINES PV ENTRE MODULES</t>
  </si>
  <si>
    <t>CABLAGE CC DES CHAINES PV AUX BJ</t>
  </si>
  <si>
    <t xml:space="preserve">RACCORDEMENT AU RESEAU PUBLIC DE DISTRIBUTION - DETAIL DU POINT DE LIVRAISON </t>
  </si>
  <si>
    <t>RACCORDEMENT AU RESEAU PUBLIC DE DISTRIBUTION - TRACE ERDF EN VOIRIE PUBLIQUE</t>
  </si>
  <si>
    <t>LIAISONS EQUIPOTENTIELLES</t>
  </si>
  <si>
    <t>CIRCULATION DES CABLES AERIENS &amp; ENTERRES</t>
  </si>
  <si>
    <t>STRUCTURE POUR EQUIPEMENTS ELECTRIQUES</t>
  </si>
  <si>
    <t>POSTE DE CONVERSION</t>
  </si>
  <si>
    <t>POSTE DE LIVRAISON</t>
  </si>
  <si>
    <t>AMENAGEMENTS CHANTIER</t>
  </si>
  <si>
    <t>PLAN DE MAITRISE FONCIERE</t>
  </si>
  <si>
    <t>PLAN DES SERVITUDES</t>
  </si>
  <si>
    <t>IDENTIFICATION DES LOTS PRIS A BAIL</t>
  </si>
  <si>
    <t>IDENTIFICATION DU LOT DE VOLUME EXCLUT DU BAIL COMMERCIAL</t>
  </si>
  <si>
    <t>Ombrière</t>
  </si>
  <si>
    <t>1100</t>
  </si>
  <si>
    <t>1120</t>
  </si>
  <si>
    <t>1150</t>
  </si>
  <si>
    <t>5030</t>
  </si>
  <si>
    <t>6010</t>
  </si>
  <si>
    <t>6020</t>
  </si>
  <si>
    <t>6030</t>
  </si>
  <si>
    <t>TOPOGRAPHIE - SITE ET ALENTOURS PROCHES</t>
  </si>
  <si>
    <t>ENJEUX ADMINISTRATIFS ET ENVIRONNEMENTAUX - [ACCES ET DISPOSITIFS POUR SECURITE INCENDIE] / [DGAC - ANALYSE DE LA GENE VISUELLE]</t>
  </si>
  <si>
    <t xml:space="preserve">IMPLANTATION DU PROCEDE PV </t>
  </si>
  <si>
    <t>COUPE SUR CHAMPS PV</t>
  </si>
  <si>
    <t>IMPLANTATION DES FONDATIONS ET DES POTEAUX - PRINCIPE ET TOLERANCES DE MISE EN ŒUVRE</t>
  </si>
  <si>
    <t>IMPLANTATION DES PLACES DE PARKING ET DES POTEAUX</t>
  </si>
  <si>
    <t>SCHEMA UNIFILAIRE  DE COMMUNICATION - VUE D'ENSEMBLE DU RESEAU</t>
  </si>
  <si>
    <t>SCHEMA UNIFILAIRE  DE COMMUNICATION - STATION METEO</t>
  </si>
  <si>
    <t>SCHEMA UNIFILAIRE  DE COMMUNICATION - RESEAU FIBRE OPTIQUE</t>
  </si>
  <si>
    <t>AMENAGEMENTS CHANTIER - BASE VIE &amp;  ZONES DE STOCKAGE</t>
  </si>
  <si>
    <t>AMENAGEMENTS CHANTIER - CIRCULATION DES ENGINS ET LEVAGE DES POSTES</t>
  </si>
  <si>
    <t xml:space="preserve">PLATEFORMES PROJETEES - DEBLAIS &amp; REMBLAIS </t>
  </si>
  <si>
    <t xml:space="preserve">NIVELLEMENT ET OUVRAGES DE GESTION DES EAUX PLUVIALES </t>
  </si>
  <si>
    <t>COUPE SUR TERRAIN PROJETE</t>
  </si>
  <si>
    <t>IDENTIFICATION DU LOT DE VOLUME</t>
  </si>
  <si>
    <t>0070</t>
  </si>
  <si>
    <t>1110</t>
  </si>
  <si>
    <t>1130</t>
  </si>
  <si>
    <t>1140</t>
  </si>
  <si>
    <t>3070</t>
  </si>
  <si>
    <t>3080</t>
  </si>
  <si>
    <t>PARCELLES CADASTRALES ET CONTRAINTES JURIDIQUES</t>
  </si>
  <si>
    <t>CONTRAINTES ENVIRONNEMENTALES - ZONES D'EXCLUSION / PROTECTION DES ESPECES</t>
  </si>
  <si>
    <t>IMPLANTATION DES TABLES &amp; MODULES</t>
  </si>
  <si>
    <t>IMPLANTATION DU PROCEDE PV -SYSTÈME DE FIXATION DES MODULES</t>
  </si>
  <si>
    <t>DEFRICHEMENT ET DEBROUSSAILLAGE</t>
  </si>
  <si>
    <t>IMPLANTATION DES FONDATIONS - [PIEUX BATTUS, PIEUX MOULES, LONGRINES] - PRINCIPE ET TOLERANCES DE MISE EN ŒUVRE</t>
  </si>
  <si>
    <t xml:space="preserve">LOCALISATION DES TRACKERS </t>
  </si>
  <si>
    <t>DISPOSITIFS DE SURETE</t>
  </si>
  <si>
    <t>CABLAGE DE LA VIDEOSURVEILLANCE</t>
  </si>
  <si>
    <t>CABLAGE DES MOTEURS</t>
  </si>
  <si>
    <t xml:space="preserve">NIVELLEMENT ET PRINCIPE DE GESTION DES EAUX PLUVIALES </t>
  </si>
  <si>
    <t>Centrale au sol</t>
  </si>
  <si>
    <t>Serre</t>
  </si>
  <si>
    <t>PLATEFORMES PROJETEES - DEBLAIS &amp; REMBLAIS </t>
  </si>
  <si>
    <t>UBS-100-AU</t>
  </si>
  <si>
    <t>UBS-100-Axes</t>
  </si>
  <si>
    <t>UBS-100-Calepinage</t>
  </si>
  <si>
    <t>UBS-100-Champ PV</t>
  </si>
  <si>
    <t>UBS-100-Chemin piéton</t>
  </si>
  <si>
    <t>UBS-100-Cotation</t>
  </si>
  <si>
    <t>UBS-100-Lanterneau</t>
  </si>
  <si>
    <t>UBS-100-Ligne de vie</t>
  </si>
  <si>
    <t>UBS-100-Limites PV</t>
  </si>
  <si>
    <t>UBS-100-Modules</t>
  </si>
  <si>
    <t>UBS-100-Pannes</t>
  </si>
  <si>
    <t>UBS-100-Puits de lumière</t>
  </si>
  <si>
    <t>UBS-100-Station météo</t>
  </si>
  <si>
    <t>UBS-150-Support de rails</t>
  </si>
  <si>
    <t>UBS-300-Raccordement</t>
  </si>
  <si>
    <t>UBS-500-Balisage de chantier</t>
  </si>
  <si>
    <t>UBS-500-Filets périphériques</t>
  </si>
  <si>
    <t>UBS-500-Local de chantier</t>
  </si>
  <si>
    <t>UBS-500-Sanitaire</t>
  </si>
  <si>
    <t>UBS-500-Zone de stockage</t>
  </si>
  <si>
    <t>UBS-700-Périphérie de terrain</t>
  </si>
  <si>
    <t>UBS-700-Servitude de passage</t>
  </si>
  <si>
    <t>UBS-700-Servitude de tour d'échelle</t>
  </si>
  <si>
    <t>UBS-700-Servitude de tréfond</t>
  </si>
  <si>
    <t>UBS-700-Surface prise à bail</t>
  </si>
  <si>
    <t>UBS-900-Boussole</t>
  </si>
  <si>
    <t>UBS-900-Echelle plan</t>
  </si>
  <si>
    <t>UBS-900-Fenêtre de Présentation</t>
  </si>
  <si>
    <t>UBS-900-Légendes</t>
  </si>
  <si>
    <t>UBS-900-Texte</t>
  </si>
  <si>
    <t>UBS-900-Vue aérienne</t>
  </si>
  <si>
    <t>UBS-900-Vue cadastrale</t>
  </si>
  <si>
    <t>Synoptique</t>
  </si>
  <si>
    <t>UBS-000-Bâtiment Existant</t>
  </si>
  <si>
    <t>Calibres</t>
  </si>
  <si>
    <t>UBS-000-Chemin d'accès existant</t>
  </si>
  <si>
    <t>UBS-000-Limite cadastrale</t>
  </si>
  <si>
    <t>Option alim auxiliaires</t>
  </si>
  <si>
    <t>UBS-000-Défrichement</t>
  </si>
  <si>
    <t>UBS-000-Limites constructibles</t>
  </si>
  <si>
    <t>Option centrale de mesure</t>
  </si>
  <si>
    <t>UBS-000-Végétation</t>
  </si>
  <si>
    <t>Option coupure d'artère</t>
  </si>
  <si>
    <t>Option de couplage</t>
  </si>
  <si>
    <t>UBS-000-Voiries existantes</t>
  </si>
  <si>
    <t>Option découplage ERDF-H4-H5</t>
  </si>
  <si>
    <t>Option N° cellules dérivation</t>
  </si>
  <si>
    <t>UBS-100-Coffret</t>
  </si>
  <si>
    <t>UBS-100-Caméras</t>
  </si>
  <si>
    <t>UBS-100-Description connection</t>
  </si>
  <si>
    <t>UBS-100-Fixation onduleur</t>
  </si>
  <si>
    <t>UBS-100-Description éléments</t>
  </si>
  <si>
    <t>UBS-100-Hachures modules</t>
  </si>
  <si>
    <t>UBS-300-Câble LAN</t>
  </si>
  <si>
    <t>UBS-300-Câble téléphonique</t>
  </si>
  <si>
    <t>UBS-300-CY</t>
  </si>
  <si>
    <t>UBS-100-Limites de prox. onduleurs</t>
  </si>
  <si>
    <t>UBS-100-Contour table</t>
  </si>
  <si>
    <t>UBS-300-Fibre</t>
  </si>
  <si>
    <t>UBS-300-TOR</t>
  </si>
  <si>
    <t>UBS-900-Cadre</t>
  </si>
  <si>
    <t>UBS-100-Onduleur</t>
  </si>
  <si>
    <t>UBS-100-Longrines &amp; fondations</t>
  </si>
  <si>
    <t>UBS-100-Ombrières structure</t>
  </si>
  <si>
    <t>UBS-Cadre</t>
  </si>
  <si>
    <t>UBS-Description éléments</t>
  </si>
  <si>
    <t>UBS-100-Pieux</t>
  </si>
  <si>
    <t>UBS-100-Place de parking</t>
  </si>
  <si>
    <t>UBS-100-Postes</t>
  </si>
  <si>
    <t>UBS-100-Poteaux incendie</t>
  </si>
  <si>
    <t>UBS-150-RESEAU-EP</t>
  </si>
  <si>
    <t>UBS-100-Zone de levage</t>
  </si>
  <si>
    <t>UBS-400-Découpage onduleurs</t>
  </si>
  <si>
    <t>UBS-300-Tranchées</t>
  </si>
  <si>
    <t>UBS-500-Marquage pompiers</t>
  </si>
  <si>
    <t>UBS-900-Non imprimable</t>
  </si>
  <si>
    <t>Indice</t>
  </si>
  <si>
    <t>Titre du plan</t>
  </si>
  <si>
    <t>Calques</t>
  </si>
  <si>
    <t>TOITURE</t>
  </si>
  <si>
    <t>CENTRALE AU SOL</t>
  </si>
  <si>
    <t>OMBRIERE</t>
  </si>
  <si>
    <t>SERRE</t>
  </si>
  <si>
    <t>SCHEMA UNIFILAIRE DES AUXILIAIRES</t>
  </si>
  <si>
    <t>SCHEMA UNIFILAIRE DE COMMUNICATION / VUE D'ENSEMBLE DU RESEAU</t>
  </si>
  <si>
    <t>SCHEMA UNIFILAIRE DE COMMUNICATION / STATION METEO</t>
  </si>
  <si>
    <t>SCHEMA UNIFILAIRE DE COMMUNICATION / RESEAU FIBRE OPTIQUE</t>
  </si>
  <si>
    <t>SYNOPTIQUE</t>
  </si>
  <si>
    <t>UBS-900-Vue Géomètre</t>
  </si>
  <si>
    <t>UBS-900-Terrassement</t>
  </si>
  <si>
    <t>UBS-100-Hachures BJ</t>
  </si>
  <si>
    <t>UBS-100-Echelle à crinoline</t>
  </si>
  <si>
    <r>
      <t>UBS-</t>
    </r>
    <r>
      <rPr>
        <sz val="11"/>
        <rFont val="Calibri"/>
        <family val="2"/>
        <scheme val="minor"/>
      </rPr>
      <t>100</t>
    </r>
    <r>
      <rPr>
        <sz val="11"/>
        <color theme="1"/>
        <rFont val="Calibri"/>
        <family val="2"/>
        <scheme val="minor"/>
      </rPr>
      <t>-Echelle à crinoline</t>
    </r>
  </si>
  <si>
    <t>UBS-300-Fixation onduleur</t>
  </si>
  <si>
    <t>UBS-100-Limites Ombrages</t>
  </si>
  <si>
    <t>UBS-330-Num Mod.</t>
  </si>
  <si>
    <t>UBS-150-Cotation rails</t>
  </si>
  <si>
    <t>UBS-150-Rails</t>
  </si>
  <si>
    <t>UBS-300-Tranchées (coupes)</t>
  </si>
  <si>
    <t>UBS-900-Vue Archi</t>
  </si>
  <si>
    <t>UBS-100-Citerne</t>
  </si>
  <si>
    <t>UBS-110-Aire de retournement</t>
  </si>
  <si>
    <t>UBS-110-Clôture</t>
  </si>
  <si>
    <t>UBS-110-Portail</t>
  </si>
  <si>
    <t>UBS-110-Piste DFCI à créer</t>
  </si>
  <si>
    <t>UBS-000-Piste DFCI existante</t>
  </si>
  <si>
    <t>UBS-100-Colonnes &amp; rangées</t>
  </si>
  <si>
    <t>UBS-100-Caméras (portée)</t>
  </si>
  <si>
    <t>UBS-100-Structure table</t>
  </si>
  <si>
    <t xml:space="preserve">UBS-100-Moteurs Tracker </t>
  </si>
  <si>
    <t>UBS-100-Local technique</t>
  </si>
  <si>
    <t>UBS-100-BJ</t>
  </si>
  <si>
    <t>UBS-300-Câblage BT</t>
  </si>
  <si>
    <t>UBS-300-Câblage HTA</t>
  </si>
  <si>
    <t>UBS-300-Câble alim. caméra</t>
  </si>
  <si>
    <t>UBS-300-Câble alim. moteur</t>
  </si>
  <si>
    <t>UBS-300-Câble de groupe PV</t>
  </si>
  <si>
    <t>UBS-300-Câble MALT-CUNU</t>
  </si>
  <si>
    <t>UBS-300-Câble MALT-VJ</t>
  </si>
  <si>
    <t>UBS-300-Câble COM.</t>
  </si>
  <si>
    <t>UBS-300-Fibre optique</t>
  </si>
  <si>
    <t>UBS-300-Chambres de tirage</t>
  </si>
  <si>
    <t xml:space="preserve">UBS-000-Cotation Bâtiment </t>
  </si>
  <si>
    <t>UBS-100-Fondation</t>
  </si>
  <si>
    <t>UBS-000-Réseaux existants</t>
  </si>
  <si>
    <t>UBS-110-Piste légère</t>
  </si>
  <si>
    <t>UBS-110-Piste lourde</t>
  </si>
  <si>
    <t>UBS-300-CdC</t>
  </si>
  <si>
    <t>Calques - Toiture</t>
  </si>
  <si>
    <t>Calques - CS</t>
  </si>
  <si>
    <t>Calques - Ombrière</t>
  </si>
  <si>
    <t>Calques - Serre</t>
  </si>
  <si>
    <t>Calques - Synoptique</t>
  </si>
  <si>
    <t>Couleur - Synoptique</t>
  </si>
  <si>
    <t>Type Ligne - Synoptique</t>
  </si>
  <si>
    <t>Couleur</t>
  </si>
  <si>
    <t>Type de ligne</t>
  </si>
  <si>
    <t>AXES2</t>
  </si>
  <si>
    <t>CACHE</t>
  </si>
  <si>
    <t>CACHE2</t>
  </si>
  <si>
    <t>CENTER</t>
  </si>
  <si>
    <t>Continuous</t>
  </si>
  <si>
    <t>HIDDEN2</t>
  </si>
  <si>
    <t>CY</t>
  </si>
  <si>
    <t>FIBRE</t>
  </si>
  <si>
    <t>HIDDEN</t>
  </si>
  <si>
    <t>LAN</t>
  </si>
  <si>
    <t>POINTILLE</t>
  </si>
  <si>
    <t>RS485</t>
  </si>
  <si>
    <t>TEL</t>
  </si>
  <si>
    <t>TOR</t>
  </si>
  <si>
    <t>Couleur - Serre</t>
  </si>
  <si>
    <t>Type Ligne - Serre</t>
  </si>
  <si>
    <t>Type Ligne - Ombrière</t>
  </si>
  <si>
    <t>Couleur - Ombrière</t>
  </si>
  <si>
    <t>Type Ligne - CS</t>
  </si>
  <si>
    <t>Couleur - CS</t>
  </si>
  <si>
    <t>Type Ligne - Toiture</t>
  </si>
  <si>
    <t>Couleur - Toiture</t>
  </si>
  <si>
    <t>FANTOME2</t>
  </si>
  <si>
    <t>CUNU</t>
  </si>
  <si>
    <t>HTA</t>
  </si>
  <si>
    <t>LIMITE1</t>
  </si>
  <si>
    <t>Câble de groupe</t>
  </si>
  <si>
    <t>BT</t>
  </si>
  <si>
    <t>VJ</t>
  </si>
  <si>
    <t>Câble CC</t>
  </si>
  <si>
    <t>Câble AC</t>
  </si>
  <si>
    <t>UBS-300-Câble de chaînes PV</t>
  </si>
  <si>
    <t>EP</t>
  </si>
  <si>
    <t>UBS-300-Câble Ethernet</t>
  </si>
  <si>
    <t>UBS-900-Représentation physique</t>
  </si>
  <si>
    <t>UBS-300-RS485</t>
  </si>
  <si>
    <t>Rouge</t>
  </si>
  <si>
    <t>Jaune</t>
  </si>
  <si>
    <t>Vert</t>
  </si>
  <si>
    <t>Cyan</t>
  </si>
  <si>
    <t>Bleu</t>
  </si>
  <si>
    <t>Magenta</t>
  </si>
  <si>
    <t>Blanc</t>
  </si>
  <si>
    <t>Gris 50%</t>
  </si>
  <si>
    <t>Gris 25%</t>
  </si>
  <si>
    <t>Noir</t>
  </si>
  <si>
    <t>Blanc/Noir</t>
  </si>
  <si>
    <t>Gris 80 %</t>
  </si>
  <si>
    <t>Gris 60 %</t>
  </si>
  <si>
    <t>Gris 40 %</t>
  </si>
  <si>
    <t>Gris 20 %</t>
  </si>
  <si>
    <t>/</t>
  </si>
  <si>
    <t>Auteur / Collaborateur :</t>
  </si>
  <si>
    <t>LUP / HAL</t>
  </si>
  <si>
    <t>Indice :</t>
  </si>
  <si>
    <t>Date :</t>
  </si>
  <si>
    <t>LUP / PID</t>
  </si>
  <si>
    <t>UBS-000-Allée technique</t>
  </si>
  <si>
    <t>UBS-000-Canalisation d'eau</t>
  </si>
  <si>
    <t>UBS-000-Automobile</t>
  </si>
  <si>
    <t>UBS-000-Bâtiment</t>
  </si>
  <si>
    <t>UBS-000-Echelle à crinoline</t>
  </si>
  <si>
    <t>NON IMPRIMABLE</t>
  </si>
  <si>
    <t>UBS-000-Citerne</t>
  </si>
  <si>
    <t>UBS-000-Cotation</t>
  </si>
  <si>
    <t>UBS-100-Bardage</t>
  </si>
  <si>
    <t>UBS-000-Sol</t>
  </si>
  <si>
    <t>UBS-100-Aire de retournement</t>
  </si>
  <si>
    <t>UBS-100-Câblage BT</t>
  </si>
  <si>
    <t>UBS-100-Câblage HTA</t>
  </si>
  <si>
    <t>UBS-000-Limites de prox. onduleurs</t>
  </si>
  <si>
    <t>UBS-100-Elec BJ</t>
  </si>
  <si>
    <t>UBS-100-Circulation peripherique</t>
  </si>
  <si>
    <t>UBS-100-Circulation intérieure lourde</t>
  </si>
  <si>
    <t>UBS-100-Clôture</t>
  </si>
  <si>
    <t>UBS-100-Contour tables</t>
  </si>
  <si>
    <t>UBS-100-Ombrières</t>
  </si>
  <si>
    <t>UBS-Câble Ethernet</t>
  </si>
  <si>
    <t>UBS-140-Cablage module</t>
  </si>
  <si>
    <t>UBS-100-Modules type 1</t>
  </si>
  <si>
    <t>UBS-100-Ombrières axes</t>
  </si>
  <si>
    <t>UBS-Câble téléphonique</t>
  </si>
  <si>
    <t>UBS-140-Num BJ</t>
  </si>
  <si>
    <t>UBS-100-Modules type 2</t>
  </si>
  <si>
    <t>UBS-140-Num Branc.</t>
  </si>
  <si>
    <t>UBS-100-Modules type 3</t>
  </si>
  <si>
    <t>UBS-140-Num Mod.</t>
  </si>
  <si>
    <t>UBS-100-Onduleurs</t>
  </si>
  <si>
    <t>UBS-Fibre Ethernet</t>
  </si>
  <si>
    <t>UBS-140-Num Ond.</t>
  </si>
  <si>
    <t>UBS-100-Parking</t>
  </si>
  <si>
    <t>UBS-100-Piste acces nacelle</t>
  </si>
  <si>
    <t>UBS-Représentation physique</t>
  </si>
  <si>
    <t>UBS-150-Cornière</t>
  </si>
  <si>
    <t>UBS-100-Piste lourde</t>
  </si>
  <si>
    <t>UBS-RS485</t>
  </si>
  <si>
    <t>UBS-150-Cotation rails primaires</t>
  </si>
  <si>
    <t>UBS-100-Piste DFCI à créer</t>
  </si>
  <si>
    <t>UBS-150-Cotation rails secondaires</t>
  </si>
  <si>
    <t>UBS-100-Piste DFCI existante</t>
  </si>
  <si>
    <t>UBS-150-Dalettes</t>
  </si>
  <si>
    <t>UBS-150-Eclisses</t>
  </si>
  <si>
    <t>UBS-100-Portail</t>
  </si>
  <si>
    <t>UBS-150-Eclisses secondaires</t>
  </si>
  <si>
    <t>UBS-100-PV</t>
  </si>
  <si>
    <t>UBS-150-K2 Réhausse inférieure</t>
  </si>
  <si>
    <t>UBS-100-PV hachure</t>
  </si>
  <si>
    <t>UBS-100-Structure</t>
  </si>
  <si>
    <t>UBS-150-Rails primaires</t>
  </si>
  <si>
    <t>UBS-150-Rails secondaires</t>
  </si>
  <si>
    <t>UBS-100-Structure Exotrack</t>
  </si>
  <si>
    <t>UBS-150-Styrodur</t>
  </si>
  <si>
    <t>UBS-100-Structure fixe</t>
  </si>
  <si>
    <t>UBS-100-Terrain modifié</t>
  </si>
  <si>
    <t>UBS-300-Détail tranchées</t>
  </si>
  <si>
    <t>UBS-100-Terrain naturel</t>
  </si>
  <si>
    <t>UBS-300-Local technique</t>
  </si>
  <si>
    <t>UBS-100-Tracker HZ_Moteurs</t>
  </si>
  <si>
    <t>UBS-300-Boites de jonction</t>
  </si>
  <si>
    <t>UBS-300-Descente CDC</t>
  </si>
  <si>
    <t>UBS-300-V.R.D</t>
  </si>
  <si>
    <t>UBS-200-ContourTable</t>
  </si>
  <si>
    <t>UBS-400-Armoires</t>
  </si>
  <si>
    <t>UBS-200-Divers tracker</t>
  </si>
  <si>
    <t>UBS-400-Onduleurs</t>
  </si>
  <si>
    <t>UBS-200-Hachure modules</t>
  </si>
  <si>
    <t>UBS-200-Implantation trackers</t>
  </si>
  <si>
    <t>UBS-200-Modules</t>
  </si>
  <si>
    <t>UBS-200-Pieux</t>
  </si>
  <si>
    <t>UBS-400-Cablage AC TD to TGBT</t>
  </si>
  <si>
    <t>UBS-300-Coupes VRD</t>
  </si>
  <si>
    <t>UBS-400-Cablage CC BJ to Coffret CC</t>
  </si>
  <si>
    <t>UBS-400-Locaux techniques</t>
  </si>
  <si>
    <t>UBS-400-Boites de jonction</t>
  </si>
  <si>
    <t>UBS-400-Câblage BT</t>
  </si>
  <si>
    <t>UBS-400-Câblage HTA</t>
  </si>
  <si>
    <t>UBS-400-Câblage HTA existant</t>
  </si>
  <si>
    <t>UBS-400-Câblage modules</t>
  </si>
  <si>
    <t>UBS-400-Câble alim. caméra</t>
  </si>
  <si>
    <t>UBS-400-Câble alim. moteur</t>
  </si>
  <si>
    <t>UBS-400-Câble chaînes PV</t>
  </si>
  <si>
    <t>UBS-400-Câble de groupe PV</t>
  </si>
  <si>
    <t>UBS-400-Câble MALT-CUNU</t>
  </si>
  <si>
    <t>UBS-400-Câble MALT-VJ</t>
  </si>
  <si>
    <t>UBS-400-Câble profibus</t>
  </si>
  <si>
    <t>UBS-400-Chambres de tirage</t>
  </si>
  <si>
    <t>UBS-400-Fibre optique</t>
  </si>
  <si>
    <t>UBS-400-Local technique</t>
  </si>
  <si>
    <t>UBS-400-Postes</t>
  </si>
  <si>
    <t>UBS-900-Traits de constructions</t>
  </si>
  <si>
    <t>UBS-Legendes</t>
  </si>
  <si>
    <t>UBS-900-Nomenclature</t>
  </si>
  <si>
    <t>UBS-000-Calibres</t>
  </si>
  <si>
    <t>UBS-000-Option de couplage</t>
  </si>
  <si>
    <t>UBS-000-Alim auxiliaires</t>
  </si>
  <si>
    <t>UBS-000-Centrale de mesure</t>
  </si>
  <si>
    <t>UBS-000-Coupure d'artère</t>
  </si>
  <si>
    <t>UBS-000-Découplage ERDF-H4-H5</t>
  </si>
  <si>
    <t>UBS-000-N° cellules dérivation</t>
  </si>
  <si>
    <t>Calques - Remplacement</t>
  </si>
  <si>
    <t>Couleur - Remplacement</t>
  </si>
  <si>
    <t>Calques - Liste complète</t>
  </si>
  <si>
    <t>Couleur - Liste complète</t>
  </si>
  <si>
    <t>Calques - Anciens</t>
  </si>
  <si>
    <t>Type Ligne - Remplacement</t>
  </si>
  <si>
    <t>Type Ligne - Liste complète</t>
  </si>
  <si>
    <t>COM</t>
  </si>
  <si>
    <t>Câble de chaines</t>
  </si>
  <si>
    <t>ETHERNET</t>
  </si>
  <si>
    <t>INTERROMPU</t>
  </si>
  <si>
    <t>UBS-100-Armoires (TD-TGBT)</t>
  </si>
  <si>
    <t>UBS-900-Calques obsolètes</t>
  </si>
  <si>
    <t>UBS-400-Zonage onduleurs</t>
  </si>
  <si>
    <t>UBS-400-Zonage BJ</t>
  </si>
  <si>
    <t>UBS-400-Zonage Poste</t>
  </si>
  <si>
    <t>UBS-330-Câblage modules</t>
  </si>
  <si>
    <t>UBS-300-Câblage</t>
  </si>
  <si>
    <t>en cours</t>
  </si>
  <si>
    <t>à faire</t>
  </si>
  <si>
    <t>Fushia</t>
  </si>
  <si>
    <t>Crépuscule</t>
  </si>
  <si>
    <t>Orange</t>
  </si>
  <si>
    <t>Jaune-Orange</t>
  </si>
  <si>
    <t>Vert acidulé</t>
  </si>
  <si>
    <t>Vert pomme</t>
  </si>
  <si>
    <t>Turquoise</t>
  </si>
  <si>
    <t>Bleu clair</t>
  </si>
  <si>
    <t>Bleu foncé</t>
  </si>
  <si>
    <t>Violet</t>
  </si>
  <si>
    <t>Rose</t>
  </si>
  <si>
    <t>scratch</t>
  </si>
  <si>
    <t>UBS-100-Ombrages</t>
  </si>
  <si>
    <t>UBS-100-Ombrage</t>
  </si>
  <si>
    <t>UBS-150-Réseau EP</t>
  </si>
  <si>
    <t>UBS-300-Réseau 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</si>
</sst>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rgb="FF000000"/>
      <name val="Calibri"/>
      <family val="2"/>
    </font>
    <font>
      <sz val="14"/>
      <color rgb="FF000000"/>
      <name val="Calibri"/>
      <family val="2"/>
    </font>
    <font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BD2C1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E5366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98">
    <xf numFmtId="0" fontId="0" fillId="0" borderId="0" xfId="0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  <xf numFmtId="0" fontId="2" fillId="0" borderId="2" xfId="1" quotePrefix="1" applyFont="1" applyFill="1" applyBorder="1" applyAlignment="1">
      <alignment horizontal="center" vertical="center"/>
    </xf>
    <xf numFmtId="0" fontId="2" fillId="0" borderId="2" xfId="1" quotePrefix="1" applyFont="1" applyFill="1" applyBorder="1" applyAlignment="1">
      <alignment horizontal="center" vertical="center" wrapText="1"/>
    </xf>
    <xf numFmtId="49" fontId="2" fillId="0" borderId="5" xfId="1" quotePrefix="1" applyNumberFormat="1" applyFont="1" applyFill="1" applyBorder="1" applyAlignment="1">
      <alignment horizontal="center" vertical="center"/>
    </xf>
    <xf numFmtId="0" fontId="1" fillId="0" borderId="6" xfId="1" applyFont="1" applyFill="1" applyBorder="1" applyAlignment="1">
      <alignment horizontal="left" vertical="center" indent="1"/>
    </xf>
    <xf numFmtId="49" fontId="2" fillId="0" borderId="5" xfId="0" quotePrefix="1" applyNumberFormat="1" applyFont="1" applyBorder="1" applyAlignment="1">
      <alignment horizontal="center" vertical="center"/>
    </xf>
    <xf numFmtId="0" fontId="2" fillId="0" borderId="6" xfId="1" applyFont="1" applyFill="1" applyBorder="1" applyAlignment="1">
      <alignment horizontal="left" vertical="center" indent="1"/>
    </xf>
    <xf numFmtId="0" fontId="2" fillId="0" borderId="6" xfId="1" applyFont="1" applyFill="1" applyBorder="1" applyAlignment="1">
      <alignment horizontal="left" vertical="center" wrapText="1" indent="1"/>
    </xf>
    <xf numFmtId="49" fontId="2" fillId="0" borderId="7" xfId="1" quotePrefix="1" applyNumberFormat="1" applyFont="1" applyFill="1" applyBorder="1" applyAlignment="1">
      <alignment horizontal="center" vertical="center"/>
    </xf>
    <xf numFmtId="0" fontId="2" fillId="0" borderId="9" xfId="1" quotePrefix="1" applyFont="1" applyFill="1" applyBorder="1" applyAlignment="1">
      <alignment horizontal="center" vertical="center"/>
    </xf>
    <xf numFmtId="0" fontId="1" fillId="0" borderId="11" xfId="1" applyFont="1" applyFill="1" applyBorder="1" applyAlignment="1">
      <alignment horizontal="left" vertical="center" indent="1"/>
    </xf>
    <xf numFmtId="0" fontId="2" fillId="0" borderId="11" xfId="1" applyFont="1" applyFill="1" applyBorder="1" applyAlignment="1">
      <alignment horizontal="left" vertical="center" indent="1"/>
    </xf>
    <xf numFmtId="0" fontId="2" fillId="0" borderId="11" xfId="1" applyFont="1" applyFill="1" applyBorder="1" applyAlignment="1">
      <alignment horizontal="left" vertical="center" wrapText="1" indent="1"/>
    </xf>
    <xf numFmtId="0" fontId="2" fillId="0" borderId="7" xfId="1" quotePrefix="1" applyFont="1" applyFill="1" applyBorder="1" applyAlignment="1">
      <alignment horizontal="center" vertical="center"/>
    </xf>
    <xf numFmtId="0" fontId="2" fillId="0" borderId="8" xfId="1" applyFont="1" applyFill="1" applyBorder="1" applyAlignment="1">
      <alignment horizontal="left" vertical="center" indent="1"/>
    </xf>
    <xf numFmtId="0" fontId="2" fillId="0" borderId="5" xfId="1" quotePrefix="1" applyFont="1" applyFill="1" applyBorder="1" applyAlignment="1">
      <alignment horizontal="center" vertical="center"/>
    </xf>
    <xf numFmtId="0" fontId="2" fillId="0" borderId="5" xfId="1" quotePrefix="1" applyFont="1" applyFill="1" applyBorder="1" applyAlignment="1">
      <alignment horizontal="center" vertical="center" wrapText="1"/>
    </xf>
    <xf numFmtId="0" fontId="1" fillId="0" borderId="8" xfId="1" applyFont="1" applyFill="1" applyBorder="1" applyAlignment="1">
      <alignment horizontal="left" vertical="center" indent="1"/>
    </xf>
    <xf numFmtId="0" fontId="2" fillId="0" borderId="5" xfId="0" quotePrefix="1" applyNumberFormat="1" applyFont="1" applyBorder="1" applyAlignment="1">
      <alignment horizontal="center" vertical="center"/>
    </xf>
    <xf numFmtId="0" fontId="3" fillId="0" borderId="10" xfId="1" applyFont="1" applyFill="1" applyBorder="1" applyAlignment="1">
      <alignment horizontal="left" vertical="center" indent="1"/>
    </xf>
    <xf numFmtId="0" fontId="3" fillId="0" borderId="11" xfId="1" applyFont="1" applyFill="1" applyBorder="1" applyAlignment="1">
      <alignment horizontal="left" vertical="center" indent="1"/>
    </xf>
    <xf numFmtId="0" fontId="2" fillId="0" borderId="11" xfId="0" applyNumberFormat="1" applyFont="1" applyBorder="1" applyAlignment="1">
      <alignment horizontal="left" vertical="center" indent="1"/>
    </xf>
    <xf numFmtId="0" fontId="4" fillId="0" borderId="7" xfId="1" quotePrefix="1" applyFont="1" applyFill="1" applyBorder="1" applyAlignment="1">
      <alignment horizontal="center" vertical="center"/>
    </xf>
    <xf numFmtId="0" fontId="5" fillId="0" borderId="8" xfId="1" applyFont="1" applyFill="1" applyBorder="1" applyAlignment="1">
      <alignment horizontal="left" vertical="center" indent="1"/>
    </xf>
    <xf numFmtId="0" fontId="4" fillId="0" borderId="5" xfId="1" quotePrefix="1" applyFont="1" applyFill="1" applyBorder="1" applyAlignment="1">
      <alignment horizontal="center" vertical="center"/>
    </xf>
    <xf numFmtId="0" fontId="5" fillId="0" borderId="6" xfId="1" applyFont="1" applyFill="1" applyBorder="1" applyAlignment="1">
      <alignment horizontal="left" vertical="center" indent="1"/>
    </xf>
    <xf numFmtId="0" fontId="4" fillId="0" borderId="6" xfId="1" applyFont="1" applyFill="1" applyBorder="1" applyAlignment="1">
      <alignment horizontal="left" vertical="center" indent="1"/>
    </xf>
    <xf numFmtId="0" fontId="4" fillId="0" borderId="6" xfId="1" applyFont="1" applyFill="1" applyBorder="1" applyAlignment="1">
      <alignment horizontal="left" vertical="center" wrapText="1" indent="1"/>
    </xf>
    <xf numFmtId="0" fontId="4" fillId="0" borderId="5" xfId="1" quotePrefix="1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 indent="1"/>
    </xf>
    <xf numFmtId="0" fontId="0" fillId="0" borderId="14" xfId="0" applyBorder="1" applyAlignment="1">
      <alignment horizontal="center" vertical="center"/>
    </xf>
    <xf numFmtId="0" fontId="0" fillId="0" borderId="0" xfId="0" applyAlignment="1">
      <alignment horizontal="left" indent="1"/>
    </xf>
    <xf numFmtId="0" fontId="0" fillId="0" borderId="0" xfId="0" applyBorder="1" applyAlignment="1">
      <alignment horizontal="left" wrapText="1" indent="1"/>
    </xf>
    <xf numFmtId="0" fontId="6" fillId="0" borderId="0" xfId="0" applyFont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NumberFormat="1" applyBorder="1" applyAlignment="1">
      <alignment horizontal="left" vertical="center" indent="1"/>
    </xf>
    <xf numFmtId="0" fontId="0" fillId="0" borderId="17" xfId="0" applyNumberFormat="1" applyBorder="1" applyAlignment="1">
      <alignment horizontal="center" vertical="center"/>
    </xf>
    <xf numFmtId="0" fontId="0" fillId="0" borderId="19" xfId="0" applyNumberFormat="1" applyBorder="1" applyAlignment="1">
      <alignment horizontal="center" vertical="center"/>
    </xf>
    <xf numFmtId="0" fontId="0" fillId="0" borderId="20" xfId="0" applyNumberFormat="1" applyBorder="1" applyAlignment="1">
      <alignment horizontal="left" vertical="center" indent="1"/>
    </xf>
    <xf numFmtId="0" fontId="0" fillId="0" borderId="20" xfId="0" applyBorder="1" applyAlignment="1">
      <alignment horizontal="center" vertical="center"/>
    </xf>
    <xf numFmtId="0" fontId="0" fillId="0" borderId="19" xfId="0" applyNumberFormat="1" applyBorder="1" applyAlignment="1">
      <alignment horizontal="left" vertical="center" indent="1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left" vertical="center" indent="1"/>
    </xf>
    <xf numFmtId="0" fontId="0" fillId="0" borderId="6" xfId="0" applyBorder="1" applyAlignment="1">
      <alignment horizontal="left" vertical="center" indent="1"/>
    </xf>
    <xf numFmtId="49" fontId="0" fillId="0" borderId="0" xfId="0" applyNumberFormat="1" applyAlignment="1">
      <alignment horizontal="center" vertical="center"/>
    </xf>
    <xf numFmtId="49" fontId="0" fillId="0" borderId="21" xfId="0" quotePrefix="1" applyNumberFormat="1" applyBorder="1" applyAlignment="1">
      <alignment horizontal="center" vertical="center"/>
    </xf>
    <xf numFmtId="49" fontId="0" fillId="0" borderId="5" xfId="0" quotePrefix="1" applyNumberFormat="1" applyBorder="1" applyAlignment="1">
      <alignment horizontal="center" vertical="center"/>
    </xf>
    <xf numFmtId="49" fontId="0" fillId="0" borderId="0" xfId="0" quotePrefix="1" applyNumberFormat="1" applyBorder="1" applyAlignment="1">
      <alignment horizontal="center" vertical="center"/>
    </xf>
    <xf numFmtId="0" fontId="0" fillId="0" borderId="0" xfId="0" applyBorder="1" applyAlignment="1">
      <alignment horizontal="left" vertical="center" indent="1"/>
    </xf>
    <xf numFmtId="0" fontId="0" fillId="0" borderId="0" xfId="0" applyBorder="1" applyAlignment="1">
      <alignment horizontal="left" vertical="center" wrapText="1" indent="1"/>
    </xf>
    <xf numFmtId="0" fontId="0" fillId="0" borderId="0" xfId="0" applyBorder="1"/>
    <xf numFmtId="0" fontId="0" fillId="0" borderId="0" xfId="0" applyBorder="1" applyAlignment="1">
      <alignment horizontal="left" wrapText="1" indent="2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left" indent="2"/>
    </xf>
    <xf numFmtId="0" fontId="0" fillId="0" borderId="0" xfId="0" applyBorder="1" applyAlignment="1">
      <alignment horizontal="center" vertical="center" wrapText="1"/>
    </xf>
    <xf numFmtId="0" fontId="9" fillId="0" borderId="0" xfId="0" applyFont="1" applyBorder="1" applyAlignment="1">
      <alignment horizontal="left" wrapText="1" indent="1"/>
    </xf>
    <xf numFmtId="0" fontId="9" fillId="0" borderId="0" xfId="0" applyFont="1" applyAlignment="1">
      <alignment horizontal="left" indent="1"/>
    </xf>
    <xf numFmtId="0" fontId="9" fillId="0" borderId="0" xfId="0" applyFont="1" applyBorder="1" applyAlignment="1">
      <alignment horizontal="left" vertical="center" wrapText="1" indent="1"/>
    </xf>
    <xf numFmtId="0" fontId="7" fillId="2" borderId="1" xfId="0" applyFont="1" applyFill="1" applyBorder="1" applyAlignment="1">
      <alignment horizontal="left" vertical="center" indent="2"/>
    </xf>
    <xf numFmtId="0" fontId="8" fillId="3" borderId="1" xfId="0" applyFont="1" applyFill="1" applyBorder="1" applyAlignment="1">
      <alignment horizontal="center" vertical="center"/>
    </xf>
    <xf numFmtId="14" fontId="8" fillId="3" borderId="1" xfId="0" applyNumberFormat="1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 wrapText="1" indent="1"/>
    </xf>
    <xf numFmtId="0" fontId="0" fillId="0" borderId="0" xfId="0" applyFill="1" applyBorder="1" applyAlignment="1">
      <alignment horizontal="left" vertical="center" wrapText="1" indent="1"/>
    </xf>
    <xf numFmtId="0" fontId="0" fillId="0" borderId="0" xfId="0" applyFill="1" applyAlignment="1">
      <alignment horizontal="left" vertical="center" indent="1"/>
    </xf>
    <xf numFmtId="0" fontId="0" fillId="0" borderId="0" xfId="0" applyFill="1" applyBorder="1" applyAlignment="1">
      <alignment horizontal="left" vertical="center" indent="1"/>
    </xf>
    <xf numFmtId="0" fontId="0" fillId="0" borderId="0" xfId="0" applyFill="1" applyBorder="1"/>
    <xf numFmtId="0" fontId="0" fillId="0" borderId="0" xfId="0" applyFill="1"/>
    <xf numFmtId="0" fontId="0" fillId="0" borderId="0" xfId="0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 indent="1"/>
    </xf>
    <xf numFmtId="0" fontId="9" fillId="0" borderId="0" xfId="0" applyFont="1" applyFill="1" applyBorder="1" applyAlignment="1">
      <alignment horizontal="left" wrapText="1" indent="1"/>
    </xf>
    <xf numFmtId="0" fontId="9" fillId="0" borderId="0" xfId="0" applyFont="1" applyFill="1" applyBorder="1" applyAlignment="1">
      <alignment horizontal="left" vertical="center" wrapText="1" indent="1"/>
    </xf>
    <xf numFmtId="0" fontId="0" fillId="0" borderId="0" xfId="0" applyFill="1" applyAlignment="1">
      <alignment horizontal="left" indent="1"/>
    </xf>
    <xf numFmtId="0" fontId="2" fillId="0" borderId="0" xfId="0" applyFont="1" applyFill="1" applyBorder="1" applyAlignment="1">
      <alignment horizontal="left" vertical="center" indent="1"/>
    </xf>
    <xf numFmtId="0" fontId="0" fillId="0" borderId="0" xfId="0" applyFill="1" applyAlignment="1">
      <alignment horizontal="center" vertical="center"/>
    </xf>
    <xf numFmtId="0" fontId="15" fillId="0" borderId="2" xfId="0" quotePrefix="1" applyFont="1" applyBorder="1" applyAlignment="1">
      <alignment horizontal="center" vertical="center"/>
    </xf>
    <xf numFmtId="0" fontId="9" fillId="0" borderId="0" xfId="0" applyFont="1" applyFill="1" applyAlignment="1">
      <alignment horizontal="left" vertical="center" indent="1"/>
    </xf>
    <xf numFmtId="1" fontId="12" fillId="2" borderId="15" xfId="0" applyNumberFormat="1" applyFont="1" applyFill="1" applyBorder="1" applyAlignment="1">
      <alignment horizontal="center" vertical="center"/>
    </xf>
    <xf numFmtId="1" fontId="12" fillId="2" borderId="16" xfId="0" applyNumberFormat="1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left" vertical="center" indent="52"/>
    </xf>
    <xf numFmtId="0" fontId="10" fillId="2" borderId="24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10" fillId="2" borderId="23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</cellXfs>
  <cellStyles count="2">
    <cellStyle name="Normal" xfId="0" builtinId="0"/>
    <cellStyle name="Normal 3" xfId="1" xr:uid="{7F8F2AFE-2B05-4E3A-8769-C80C4FF1B900}"/>
  </cellStyles>
  <dxfs count="18">
    <dxf>
      <border>
        <left style="thin">
          <color auto="1"/>
        </left>
        <right style="thin">
          <color auto="1"/>
        </right>
        <vertical/>
        <horizontal/>
      </border>
    </dxf>
    <dxf>
      <fill>
        <patternFill patternType="lightUp">
          <fgColor theme="0" tint="-0.499984740745262"/>
          <bgColor theme="0"/>
        </patternFill>
      </fill>
    </dxf>
    <dxf>
      <fill>
        <patternFill patternType="solid">
          <bgColor theme="0" tint="-0.499984740745262"/>
        </patternFill>
      </fill>
    </dxf>
    <dxf>
      <fill>
        <patternFill patternType="lightUp">
          <fgColor theme="0" tint="-0.499984740745262"/>
          <bgColor theme="0"/>
        </patternFill>
      </fill>
    </dxf>
    <dxf>
      <fill>
        <patternFill patternType="solid">
          <bgColor theme="0" tint="-0.499984740745262"/>
        </patternFill>
      </fill>
    </dxf>
    <dxf>
      <fill>
        <patternFill patternType="lightUp">
          <f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ill>
        <patternFill patternType="lightUp">
          <f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fill>
        <patternFill patternType="lightUp">
          <fgColor theme="0" tint="-0.499984740745262"/>
        </patternFill>
      </fill>
    </dxf>
    <dxf>
      <fill>
        <patternFill patternType="solid">
          <bgColor theme="0" tint="-0.499984740745262"/>
        </patternFill>
      </fill>
    </dxf>
    <dxf>
      <border>
        <left style="thin">
          <color auto="1"/>
        </left>
        <right style="thin">
          <color auto="1"/>
        </right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auto="1"/>
        </left>
        <right style="thin">
          <color auto="1"/>
        </right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</dxfs>
  <tableStyles count="0" defaultTableStyle="TableStyleMedium2" defaultPivotStyle="PivotStyleLight16"/>
  <colors>
    <mruColors>
      <color rgb="FFBD2C14"/>
      <color rgb="FF3E5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361950</xdr:colOff>
          <xdr:row>0</xdr:row>
          <xdr:rowOff>161925</xdr:rowOff>
        </xdr:from>
        <xdr:to>
          <xdr:col>14</xdr:col>
          <xdr:colOff>590550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</a:rPr>
                <a:t>TRIER LES INDICES DES PLANS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171450</xdr:colOff>
          <xdr:row>0</xdr:row>
          <xdr:rowOff>180975</xdr:rowOff>
        </xdr:from>
        <xdr:to>
          <xdr:col>19</xdr:col>
          <xdr:colOff>47625</xdr:colOff>
          <xdr:row>3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Calibri"/>
                </a:rPr>
                <a:t>TRIER LES CALQUES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171450</xdr:colOff>
          <xdr:row>4</xdr:row>
          <xdr:rowOff>0</xdr:rowOff>
        </xdr:from>
        <xdr:to>
          <xdr:col>19</xdr:col>
          <xdr:colOff>47625</xdr:colOff>
          <xdr:row>7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Calibri"/>
                </a:rPr>
                <a:t>CRÉER LA LISTE</a:t>
              </a:r>
            </a:p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Calibri"/>
                </a:rPr>
                <a:t>COMPLETE DES CALQUES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7D8E9-3AF7-48F4-B402-8BEDDE2B6AC4}">
  <sheetPr codeName="Feuil1"/>
  <dimension ref="B1:K48"/>
  <sheetViews>
    <sheetView showGridLines="0" zoomScale="70" zoomScaleNormal="70" workbookViewId="0">
      <selection activeCell="C46" sqref="C46"/>
    </sheetView>
  </sheetViews>
  <sheetFormatPr baseColWidth="10" defaultRowHeight="15" customHeight="1" x14ac:dyDescent="0.25"/>
  <cols>
    <col min="1" max="1" width="2.85546875" style="2" customWidth="1"/>
    <col min="2" max="2" width="11.42578125" style="1"/>
    <col min="3" max="3" width="128.7109375" style="3" bestFit="1" customWidth="1"/>
    <col min="4" max="4" width="11.42578125" style="2"/>
    <col min="5" max="5" width="129.7109375" style="3" bestFit="1" customWidth="1"/>
    <col min="6" max="6" width="11.42578125" style="2"/>
    <col min="7" max="7" width="129.7109375" style="3" customWidth="1"/>
    <col min="8" max="8" width="11.42578125" style="2"/>
    <col min="9" max="9" width="129.7109375" style="3" customWidth="1"/>
    <col min="10" max="10" width="11.42578125" style="48"/>
    <col min="11" max="11" width="67.28515625" style="3" bestFit="1" customWidth="1"/>
    <col min="12" max="16384" width="11.42578125" style="2"/>
  </cols>
  <sheetData>
    <row r="1" spans="2:11" ht="15" customHeight="1" thickBot="1" x14ac:dyDescent="0.3"/>
    <row r="2" spans="2:11" ht="22.5" customHeight="1" thickBot="1" x14ac:dyDescent="0.3">
      <c r="B2" s="84" t="s">
        <v>0</v>
      </c>
      <c r="C2" s="85"/>
      <c r="D2" s="86" t="s">
        <v>75</v>
      </c>
      <c r="E2" s="87"/>
      <c r="F2" s="86" t="s">
        <v>115</v>
      </c>
      <c r="G2" s="87"/>
      <c r="H2" s="88" t="s">
        <v>116</v>
      </c>
      <c r="I2" s="87"/>
      <c r="J2" s="88" t="s">
        <v>150</v>
      </c>
      <c r="K2" s="87"/>
    </row>
    <row r="3" spans="2:11" ht="15" customHeight="1" x14ac:dyDescent="0.25">
      <c r="B3" s="11" t="s">
        <v>1</v>
      </c>
      <c r="C3" s="22" t="s">
        <v>40</v>
      </c>
      <c r="D3" s="25" t="s">
        <v>1</v>
      </c>
      <c r="E3" s="26" t="s">
        <v>40</v>
      </c>
      <c r="F3" s="16" t="s">
        <v>1</v>
      </c>
      <c r="G3" s="20" t="s">
        <v>40</v>
      </c>
      <c r="H3" s="12" t="s">
        <v>1</v>
      </c>
      <c r="I3" s="17" t="s">
        <v>40</v>
      </c>
      <c r="J3" s="49" t="s">
        <v>16</v>
      </c>
      <c r="K3" s="46" t="s">
        <v>55</v>
      </c>
    </row>
    <row r="4" spans="2:11" ht="15" customHeight="1" x14ac:dyDescent="0.25">
      <c r="B4" s="6" t="s">
        <v>2</v>
      </c>
      <c r="C4" s="23" t="s">
        <v>41</v>
      </c>
      <c r="D4" s="27" t="s">
        <v>2</v>
      </c>
      <c r="E4" s="28" t="s">
        <v>41</v>
      </c>
      <c r="F4" s="18" t="s">
        <v>2</v>
      </c>
      <c r="G4" s="7" t="s">
        <v>104</v>
      </c>
      <c r="H4" s="4" t="s">
        <v>2</v>
      </c>
      <c r="I4" s="9" t="s">
        <v>41</v>
      </c>
      <c r="J4" s="50" t="s">
        <v>17</v>
      </c>
      <c r="K4" s="47" t="s">
        <v>56</v>
      </c>
    </row>
    <row r="5" spans="2:11" ht="15" customHeight="1" x14ac:dyDescent="0.25">
      <c r="B5" s="6" t="s">
        <v>3</v>
      </c>
      <c r="C5" s="23" t="s">
        <v>42</v>
      </c>
      <c r="D5" s="27" t="s">
        <v>3</v>
      </c>
      <c r="E5" s="28" t="s">
        <v>83</v>
      </c>
      <c r="F5" s="18" t="s">
        <v>3</v>
      </c>
      <c r="G5" s="7" t="s">
        <v>83</v>
      </c>
      <c r="H5" s="4" t="s">
        <v>3</v>
      </c>
      <c r="I5" s="9" t="s">
        <v>42</v>
      </c>
      <c r="J5" s="50" t="s">
        <v>18</v>
      </c>
      <c r="K5" s="47" t="s">
        <v>201</v>
      </c>
    </row>
    <row r="6" spans="2:11" ht="15" customHeight="1" x14ac:dyDescent="0.25">
      <c r="B6" s="6" t="s">
        <v>4</v>
      </c>
      <c r="C6" s="23" t="s">
        <v>43</v>
      </c>
      <c r="D6" s="27" t="s">
        <v>4</v>
      </c>
      <c r="E6" s="28" t="s">
        <v>43</v>
      </c>
      <c r="F6" s="18" t="s">
        <v>4</v>
      </c>
      <c r="G6" s="7" t="s">
        <v>43</v>
      </c>
      <c r="H6" s="4" t="s">
        <v>4</v>
      </c>
      <c r="I6" s="9" t="s">
        <v>43</v>
      </c>
      <c r="J6" s="50" t="s">
        <v>19</v>
      </c>
      <c r="K6" s="47" t="s">
        <v>202</v>
      </c>
    </row>
    <row r="7" spans="2:11" ht="15" customHeight="1" x14ac:dyDescent="0.25">
      <c r="B7" s="6" t="s">
        <v>5</v>
      </c>
      <c r="C7" s="23" t="s">
        <v>44</v>
      </c>
      <c r="D7" s="27" t="s">
        <v>5</v>
      </c>
      <c r="E7" s="28" t="s">
        <v>44</v>
      </c>
      <c r="F7" s="19" t="s">
        <v>98</v>
      </c>
      <c r="G7" s="7" t="s">
        <v>105</v>
      </c>
      <c r="H7" s="4" t="s">
        <v>7</v>
      </c>
      <c r="I7" s="9" t="s">
        <v>84</v>
      </c>
      <c r="J7" s="50" t="s">
        <v>20</v>
      </c>
      <c r="K7" s="47" t="s">
        <v>203</v>
      </c>
    </row>
    <row r="8" spans="2:11" ht="15" customHeight="1" x14ac:dyDescent="0.25">
      <c r="B8" s="6" t="s">
        <v>6</v>
      </c>
      <c r="C8" s="23" t="s">
        <v>45</v>
      </c>
      <c r="D8" s="27" t="s">
        <v>7</v>
      </c>
      <c r="E8" s="28" t="s">
        <v>84</v>
      </c>
      <c r="F8" s="18" t="s">
        <v>7</v>
      </c>
      <c r="G8" s="7" t="s">
        <v>84</v>
      </c>
      <c r="H8" s="4" t="s">
        <v>8</v>
      </c>
      <c r="I8" s="9" t="s">
        <v>47</v>
      </c>
      <c r="J8" s="50" t="s">
        <v>21</v>
      </c>
      <c r="K8" s="47" t="s">
        <v>204</v>
      </c>
    </row>
    <row r="9" spans="2:11" ht="15" customHeight="1" x14ac:dyDescent="0.25">
      <c r="B9" s="6" t="s">
        <v>7</v>
      </c>
      <c r="C9" s="13" t="s">
        <v>46</v>
      </c>
      <c r="D9" s="27" t="s">
        <v>8</v>
      </c>
      <c r="E9" s="28" t="s">
        <v>47</v>
      </c>
      <c r="F9" s="18" t="s">
        <v>8</v>
      </c>
      <c r="G9" s="7" t="s">
        <v>47</v>
      </c>
      <c r="H9" s="4" t="s">
        <v>9</v>
      </c>
      <c r="I9" s="9" t="s">
        <v>48</v>
      </c>
      <c r="J9" s="51"/>
      <c r="K9" s="52"/>
    </row>
    <row r="10" spans="2:11" ht="15" customHeight="1" x14ac:dyDescent="0.25">
      <c r="B10" s="6" t="s">
        <v>8</v>
      </c>
      <c r="C10" s="13" t="s">
        <v>47</v>
      </c>
      <c r="D10" s="27" t="s">
        <v>9</v>
      </c>
      <c r="E10" s="28" t="s">
        <v>48</v>
      </c>
      <c r="F10" s="18" t="s">
        <v>9</v>
      </c>
      <c r="G10" s="7" t="s">
        <v>106</v>
      </c>
      <c r="H10" s="4" t="s">
        <v>10</v>
      </c>
      <c r="I10" s="9" t="s">
        <v>49</v>
      </c>
    </row>
    <row r="11" spans="2:11" ht="15" customHeight="1" x14ac:dyDescent="0.25">
      <c r="B11" s="6" t="s">
        <v>9</v>
      </c>
      <c r="C11" s="13" t="s">
        <v>48</v>
      </c>
      <c r="D11" s="27" t="s">
        <v>10</v>
      </c>
      <c r="E11" s="28" t="s">
        <v>49</v>
      </c>
      <c r="F11" s="18" t="s">
        <v>10</v>
      </c>
      <c r="G11" s="7" t="s">
        <v>49</v>
      </c>
      <c r="H11" s="4" t="s">
        <v>11</v>
      </c>
      <c r="I11" s="9" t="s">
        <v>50</v>
      </c>
    </row>
    <row r="12" spans="2:11" ht="15" customHeight="1" x14ac:dyDescent="0.25">
      <c r="B12" s="6" t="s">
        <v>10</v>
      </c>
      <c r="C12" s="13" t="s">
        <v>49</v>
      </c>
      <c r="D12" s="27" t="s">
        <v>11</v>
      </c>
      <c r="E12" s="29" t="s">
        <v>50</v>
      </c>
      <c r="F12" s="18" t="s">
        <v>11</v>
      </c>
      <c r="G12" s="7" t="s">
        <v>50</v>
      </c>
      <c r="H12" s="4" t="s">
        <v>12</v>
      </c>
      <c r="I12" s="9" t="s">
        <v>51</v>
      </c>
    </row>
    <row r="13" spans="2:11" ht="15" customHeight="1" x14ac:dyDescent="0.25">
      <c r="B13" s="6" t="s">
        <v>11</v>
      </c>
      <c r="C13" s="13" t="s">
        <v>50</v>
      </c>
      <c r="D13" s="27" t="s">
        <v>12</v>
      </c>
      <c r="E13" s="29" t="s">
        <v>51</v>
      </c>
      <c r="F13" s="18" t="s">
        <v>12</v>
      </c>
      <c r="G13" s="7" t="s">
        <v>51</v>
      </c>
      <c r="H13" s="4" t="s">
        <v>13</v>
      </c>
      <c r="I13" s="9" t="s">
        <v>85</v>
      </c>
    </row>
    <row r="14" spans="2:11" ht="15" customHeight="1" x14ac:dyDescent="0.25">
      <c r="B14" s="6" t="s">
        <v>12</v>
      </c>
      <c r="C14" s="13" t="s">
        <v>51</v>
      </c>
      <c r="D14" s="27" t="s">
        <v>13</v>
      </c>
      <c r="E14" s="28" t="s">
        <v>85</v>
      </c>
      <c r="F14" s="18" t="s">
        <v>13</v>
      </c>
      <c r="G14" s="7" t="s">
        <v>107</v>
      </c>
      <c r="H14" s="4" t="s">
        <v>76</v>
      </c>
      <c r="I14" s="9" t="s">
        <v>86</v>
      </c>
    </row>
    <row r="15" spans="2:11" ht="15" customHeight="1" x14ac:dyDescent="0.25">
      <c r="B15" s="6" t="s">
        <v>13</v>
      </c>
      <c r="C15" s="13" t="s">
        <v>52</v>
      </c>
      <c r="D15" s="27" t="s">
        <v>76</v>
      </c>
      <c r="E15" s="28" t="s">
        <v>86</v>
      </c>
      <c r="F15" s="18" t="s">
        <v>76</v>
      </c>
      <c r="G15" s="7" t="s">
        <v>86</v>
      </c>
      <c r="H15" s="4" t="s">
        <v>77</v>
      </c>
      <c r="I15" s="9" t="s">
        <v>87</v>
      </c>
    </row>
    <row r="16" spans="2:11" ht="15" customHeight="1" x14ac:dyDescent="0.25">
      <c r="B16" s="6" t="s">
        <v>14</v>
      </c>
      <c r="C16" s="13" t="s">
        <v>53</v>
      </c>
      <c r="D16" s="27" t="s">
        <v>77</v>
      </c>
      <c r="E16" s="28" t="s">
        <v>87</v>
      </c>
      <c r="F16" s="18" t="s">
        <v>99</v>
      </c>
      <c r="G16" s="7" t="s">
        <v>108</v>
      </c>
      <c r="H16" s="82" t="s">
        <v>16</v>
      </c>
      <c r="I16" s="9" t="s">
        <v>55</v>
      </c>
    </row>
    <row r="17" spans="2:9" ht="15" customHeight="1" x14ac:dyDescent="0.25">
      <c r="B17" s="6" t="s">
        <v>15</v>
      </c>
      <c r="C17" s="13" t="s">
        <v>54</v>
      </c>
      <c r="D17" s="27" t="s">
        <v>78</v>
      </c>
      <c r="E17" s="29" t="s">
        <v>88</v>
      </c>
      <c r="F17" s="18" t="s">
        <v>77</v>
      </c>
      <c r="G17" s="7" t="s">
        <v>109</v>
      </c>
      <c r="H17" s="82" t="s">
        <v>17</v>
      </c>
      <c r="I17" s="9" t="s">
        <v>56</v>
      </c>
    </row>
    <row r="18" spans="2:9" ht="15" customHeight="1" x14ac:dyDescent="0.25">
      <c r="B18" s="8" t="s">
        <v>16</v>
      </c>
      <c r="C18" s="14" t="s">
        <v>55</v>
      </c>
      <c r="D18" s="27" t="s">
        <v>16</v>
      </c>
      <c r="E18" s="29" t="s">
        <v>55</v>
      </c>
      <c r="F18" s="18" t="s">
        <v>100</v>
      </c>
      <c r="G18" s="7" t="s">
        <v>110</v>
      </c>
      <c r="H18" s="82" t="s">
        <v>18</v>
      </c>
      <c r="I18" s="9" t="s">
        <v>57</v>
      </c>
    </row>
    <row r="19" spans="2:9" ht="15" customHeight="1" x14ac:dyDescent="0.25">
      <c r="B19" s="8" t="s">
        <v>17</v>
      </c>
      <c r="C19" s="14" t="s">
        <v>56</v>
      </c>
      <c r="D19" s="27" t="s">
        <v>17</v>
      </c>
      <c r="E19" s="29" t="s">
        <v>56</v>
      </c>
      <c r="F19" s="18" t="s">
        <v>101</v>
      </c>
      <c r="G19" s="7" t="s">
        <v>111</v>
      </c>
      <c r="H19" s="82" t="s">
        <v>19</v>
      </c>
      <c r="I19" s="9" t="s">
        <v>89</v>
      </c>
    </row>
    <row r="20" spans="2:9" ht="15" customHeight="1" x14ac:dyDescent="0.25">
      <c r="B20" s="8" t="s">
        <v>18</v>
      </c>
      <c r="C20" s="14" t="s">
        <v>57</v>
      </c>
      <c r="D20" s="27" t="s">
        <v>18</v>
      </c>
      <c r="E20" s="29" t="s">
        <v>57</v>
      </c>
      <c r="F20" s="21" t="s">
        <v>16</v>
      </c>
      <c r="G20" s="9" t="s">
        <v>55</v>
      </c>
      <c r="H20" s="82" t="s">
        <v>20</v>
      </c>
      <c r="I20" s="9" t="s">
        <v>90</v>
      </c>
    </row>
    <row r="21" spans="2:9" ht="15" customHeight="1" x14ac:dyDescent="0.25">
      <c r="B21" s="8" t="s">
        <v>19</v>
      </c>
      <c r="C21" s="14" t="s">
        <v>58</v>
      </c>
      <c r="D21" s="27" t="s">
        <v>19</v>
      </c>
      <c r="E21" s="29" t="s">
        <v>89</v>
      </c>
      <c r="F21" s="21" t="s">
        <v>17</v>
      </c>
      <c r="G21" s="9" t="s">
        <v>56</v>
      </c>
      <c r="H21" s="82" t="s">
        <v>21</v>
      </c>
      <c r="I21" s="9" t="s">
        <v>91</v>
      </c>
    </row>
    <row r="22" spans="2:9" ht="15" customHeight="1" x14ac:dyDescent="0.25">
      <c r="B22" s="8" t="s">
        <v>20</v>
      </c>
      <c r="C22" s="14" t="s">
        <v>58</v>
      </c>
      <c r="D22" s="27" t="s">
        <v>20</v>
      </c>
      <c r="E22" s="29" t="s">
        <v>90</v>
      </c>
      <c r="F22" s="21" t="s">
        <v>18</v>
      </c>
      <c r="G22" s="9" t="s">
        <v>57</v>
      </c>
      <c r="H22" s="4" t="s">
        <v>22</v>
      </c>
      <c r="I22" s="9" t="s">
        <v>59</v>
      </c>
    </row>
    <row r="23" spans="2:9" ht="15" customHeight="1" x14ac:dyDescent="0.25">
      <c r="B23" s="8" t="s">
        <v>21</v>
      </c>
      <c r="C23" s="14" t="s">
        <v>58</v>
      </c>
      <c r="D23" s="27" t="s">
        <v>21</v>
      </c>
      <c r="E23" s="29" t="s">
        <v>91</v>
      </c>
      <c r="F23" s="21" t="s">
        <v>19</v>
      </c>
      <c r="G23" s="9" t="s">
        <v>89</v>
      </c>
      <c r="H23" s="4" t="s">
        <v>23</v>
      </c>
      <c r="I23" s="9" t="s">
        <v>60</v>
      </c>
    </row>
    <row r="24" spans="2:9" ht="15" customHeight="1" x14ac:dyDescent="0.25">
      <c r="B24" s="6" t="s">
        <v>22</v>
      </c>
      <c r="C24" s="14" t="s">
        <v>59</v>
      </c>
      <c r="D24" s="27" t="s">
        <v>22</v>
      </c>
      <c r="E24" s="29" t="s">
        <v>59</v>
      </c>
      <c r="F24" s="21" t="s">
        <v>20</v>
      </c>
      <c r="G24" s="9" t="s">
        <v>90</v>
      </c>
      <c r="H24" s="4" t="s">
        <v>24</v>
      </c>
      <c r="I24" s="9" t="s">
        <v>61</v>
      </c>
    </row>
    <row r="25" spans="2:9" ht="15" customHeight="1" x14ac:dyDescent="0.25">
      <c r="B25" s="6" t="s">
        <v>23</v>
      </c>
      <c r="C25" s="14" t="s">
        <v>60</v>
      </c>
      <c r="D25" s="27" t="s">
        <v>23</v>
      </c>
      <c r="E25" s="29" t="s">
        <v>60</v>
      </c>
      <c r="F25" s="21" t="s">
        <v>21</v>
      </c>
      <c r="G25" s="9" t="s">
        <v>91</v>
      </c>
      <c r="H25" s="4" t="s">
        <v>25</v>
      </c>
      <c r="I25" s="9" t="s">
        <v>62</v>
      </c>
    </row>
    <row r="26" spans="2:9" ht="15" customHeight="1" x14ac:dyDescent="0.25">
      <c r="B26" s="6" t="s">
        <v>24</v>
      </c>
      <c r="C26" s="14" t="s">
        <v>61</v>
      </c>
      <c r="D26" s="27" t="s">
        <v>24</v>
      </c>
      <c r="E26" s="29" t="s">
        <v>61</v>
      </c>
      <c r="F26" s="18" t="s">
        <v>22</v>
      </c>
      <c r="G26" s="9" t="s">
        <v>59</v>
      </c>
      <c r="H26" s="4" t="s">
        <v>26</v>
      </c>
      <c r="I26" s="10" t="s">
        <v>63</v>
      </c>
    </row>
    <row r="27" spans="2:9" ht="15" customHeight="1" x14ac:dyDescent="0.25">
      <c r="B27" s="6" t="s">
        <v>25</v>
      </c>
      <c r="C27" s="14" t="s">
        <v>62</v>
      </c>
      <c r="D27" s="27" t="s">
        <v>25</v>
      </c>
      <c r="E27" s="29" t="s">
        <v>62</v>
      </c>
      <c r="F27" s="18" t="s">
        <v>23</v>
      </c>
      <c r="G27" s="9" t="s">
        <v>60</v>
      </c>
      <c r="H27" s="4" t="s">
        <v>27</v>
      </c>
      <c r="I27" s="10" t="s">
        <v>64</v>
      </c>
    </row>
    <row r="28" spans="2:9" ht="15" customHeight="1" x14ac:dyDescent="0.25">
      <c r="B28" s="6" t="s">
        <v>26</v>
      </c>
      <c r="C28" s="15" t="s">
        <v>63</v>
      </c>
      <c r="D28" s="27" t="s">
        <v>26</v>
      </c>
      <c r="E28" s="30" t="s">
        <v>63</v>
      </c>
      <c r="F28" s="18" t="s">
        <v>24</v>
      </c>
      <c r="G28" s="9" t="s">
        <v>61</v>
      </c>
      <c r="H28" s="4" t="s">
        <v>28</v>
      </c>
      <c r="I28" s="9" t="s">
        <v>65</v>
      </c>
    </row>
    <row r="29" spans="2:9" ht="15" customHeight="1" x14ac:dyDescent="0.25">
      <c r="B29" s="8" t="s">
        <v>27</v>
      </c>
      <c r="C29" s="24" t="s">
        <v>64</v>
      </c>
      <c r="D29" s="27" t="s">
        <v>27</v>
      </c>
      <c r="E29" s="30" t="s">
        <v>64</v>
      </c>
      <c r="F29" s="18" t="s">
        <v>25</v>
      </c>
      <c r="G29" s="9" t="s">
        <v>62</v>
      </c>
      <c r="H29" s="4" t="s">
        <v>29</v>
      </c>
      <c r="I29" s="10" t="s">
        <v>66</v>
      </c>
    </row>
    <row r="30" spans="2:9" ht="15" customHeight="1" x14ac:dyDescent="0.25">
      <c r="B30" s="6" t="s">
        <v>28</v>
      </c>
      <c r="C30" s="14" t="s">
        <v>65</v>
      </c>
      <c r="D30" s="27" t="s">
        <v>28</v>
      </c>
      <c r="E30" s="29" t="s">
        <v>65</v>
      </c>
      <c r="F30" s="18" t="s">
        <v>26</v>
      </c>
      <c r="G30" s="10" t="s">
        <v>63</v>
      </c>
      <c r="H30" s="4" t="s">
        <v>30</v>
      </c>
      <c r="I30" s="10" t="s">
        <v>66</v>
      </c>
    </row>
    <row r="31" spans="2:9" ht="15" customHeight="1" x14ac:dyDescent="0.25">
      <c r="B31" s="6" t="s">
        <v>29</v>
      </c>
      <c r="C31" s="15" t="s">
        <v>66</v>
      </c>
      <c r="D31" s="27" t="s">
        <v>29</v>
      </c>
      <c r="E31" s="30" t="s">
        <v>66</v>
      </c>
      <c r="F31" s="18" t="s">
        <v>27</v>
      </c>
      <c r="G31" s="10" t="s">
        <v>64</v>
      </c>
      <c r="H31" s="4" t="s">
        <v>31</v>
      </c>
      <c r="I31" s="9" t="s">
        <v>67</v>
      </c>
    </row>
    <row r="32" spans="2:9" ht="15" customHeight="1" x14ac:dyDescent="0.25">
      <c r="B32" s="6" t="s">
        <v>30</v>
      </c>
      <c r="C32" s="15" t="s">
        <v>66</v>
      </c>
      <c r="D32" s="27" t="s">
        <v>30</v>
      </c>
      <c r="E32" s="30" t="s">
        <v>66</v>
      </c>
      <c r="F32" s="18" t="s">
        <v>28</v>
      </c>
      <c r="G32" s="9" t="s">
        <v>65</v>
      </c>
      <c r="H32" s="4" t="s">
        <v>32</v>
      </c>
      <c r="I32" s="9" t="s">
        <v>68</v>
      </c>
    </row>
    <row r="33" spans="2:9" ht="15" customHeight="1" x14ac:dyDescent="0.25">
      <c r="B33" s="6" t="s">
        <v>31</v>
      </c>
      <c r="C33" s="14" t="s">
        <v>67</v>
      </c>
      <c r="D33" s="27" t="s">
        <v>31</v>
      </c>
      <c r="E33" s="29" t="s">
        <v>67</v>
      </c>
      <c r="F33" s="18" t="s">
        <v>102</v>
      </c>
      <c r="G33" s="9" t="s">
        <v>112</v>
      </c>
      <c r="H33" s="4" t="s">
        <v>33</v>
      </c>
      <c r="I33" s="9" t="s">
        <v>69</v>
      </c>
    </row>
    <row r="34" spans="2:9" ht="15" customHeight="1" x14ac:dyDescent="0.25">
      <c r="B34" s="6" t="s">
        <v>32</v>
      </c>
      <c r="C34" s="14" t="s">
        <v>68</v>
      </c>
      <c r="D34" s="27" t="s">
        <v>32</v>
      </c>
      <c r="E34" s="29" t="s">
        <v>68</v>
      </c>
      <c r="F34" s="18" t="s">
        <v>103</v>
      </c>
      <c r="G34" s="9" t="s">
        <v>113</v>
      </c>
      <c r="H34" s="4" t="s">
        <v>34</v>
      </c>
      <c r="I34" s="9" t="s">
        <v>92</v>
      </c>
    </row>
    <row r="35" spans="2:9" ht="15" customHeight="1" x14ac:dyDescent="0.25">
      <c r="B35" s="6" t="s">
        <v>33</v>
      </c>
      <c r="C35" s="14" t="s">
        <v>69</v>
      </c>
      <c r="D35" s="27" t="s">
        <v>33</v>
      </c>
      <c r="E35" s="29" t="s">
        <v>69</v>
      </c>
      <c r="F35" s="18" t="s">
        <v>29</v>
      </c>
      <c r="G35" s="10" t="s">
        <v>66</v>
      </c>
      <c r="H35" s="4" t="s">
        <v>79</v>
      </c>
      <c r="I35" s="10" t="s">
        <v>93</v>
      </c>
    </row>
    <row r="36" spans="2:9" ht="15" customHeight="1" x14ac:dyDescent="0.25">
      <c r="B36" s="6" t="s">
        <v>34</v>
      </c>
      <c r="C36" s="15" t="s">
        <v>70</v>
      </c>
      <c r="D36" s="27" t="s">
        <v>34</v>
      </c>
      <c r="E36" s="29" t="s">
        <v>92</v>
      </c>
      <c r="F36" s="18" t="s">
        <v>30</v>
      </c>
      <c r="G36" s="10" t="s">
        <v>66</v>
      </c>
      <c r="H36" s="5" t="s">
        <v>80</v>
      </c>
      <c r="I36" s="10" t="s">
        <v>117</v>
      </c>
    </row>
    <row r="37" spans="2:9" ht="15" customHeight="1" x14ac:dyDescent="0.25">
      <c r="B37" s="6" t="s">
        <v>35</v>
      </c>
      <c r="C37" s="14" t="s">
        <v>70</v>
      </c>
      <c r="D37" s="27" t="s">
        <v>79</v>
      </c>
      <c r="E37" s="30" t="s">
        <v>93</v>
      </c>
      <c r="F37" s="18" t="s">
        <v>31</v>
      </c>
      <c r="G37" s="9" t="s">
        <v>67</v>
      </c>
      <c r="H37" s="5" t="s">
        <v>81</v>
      </c>
      <c r="I37" s="10" t="s">
        <v>114</v>
      </c>
    </row>
    <row r="38" spans="2:9" ht="15" customHeight="1" x14ac:dyDescent="0.25">
      <c r="B38" s="6" t="s">
        <v>36</v>
      </c>
      <c r="C38" s="14" t="s">
        <v>71</v>
      </c>
      <c r="D38" s="31" t="s">
        <v>80</v>
      </c>
      <c r="E38" s="30" t="s">
        <v>94</v>
      </c>
      <c r="F38" s="18" t="s">
        <v>32</v>
      </c>
      <c r="G38" s="9" t="s">
        <v>68</v>
      </c>
      <c r="H38" s="5" t="s">
        <v>82</v>
      </c>
      <c r="I38" s="10" t="s">
        <v>96</v>
      </c>
    </row>
    <row r="39" spans="2:9" ht="15" customHeight="1" x14ac:dyDescent="0.25">
      <c r="B39" s="6" t="s">
        <v>37</v>
      </c>
      <c r="C39" s="14" t="s">
        <v>72</v>
      </c>
      <c r="D39" s="31" t="s">
        <v>81</v>
      </c>
      <c r="E39" s="30" t="s">
        <v>95</v>
      </c>
      <c r="F39" s="18" t="s">
        <v>33</v>
      </c>
      <c r="G39" s="9" t="s">
        <v>69</v>
      </c>
      <c r="H39" s="4" t="s">
        <v>36</v>
      </c>
      <c r="I39" s="9" t="s">
        <v>71</v>
      </c>
    </row>
    <row r="40" spans="2:9" ht="15" customHeight="1" x14ac:dyDescent="0.25">
      <c r="B40" s="6" t="s">
        <v>38</v>
      </c>
      <c r="C40" s="14" t="s">
        <v>73</v>
      </c>
      <c r="D40" s="31" t="s">
        <v>82</v>
      </c>
      <c r="E40" s="30" t="s">
        <v>96</v>
      </c>
      <c r="F40" s="18" t="s">
        <v>34</v>
      </c>
      <c r="G40" s="9" t="s">
        <v>92</v>
      </c>
      <c r="H40" s="4" t="s">
        <v>37</v>
      </c>
      <c r="I40" s="9" t="s">
        <v>72</v>
      </c>
    </row>
    <row r="41" spans="2:9" ht="15" customHeight="1" x14ac:dyDescent="0.25">
      <c r="B41" s="6" t="s">
        <v>39</v>
      </c>
      <c r="C41" s="14" t="s">
        <v>74</v>
      </c>
      <c r="D41" s="27" t="s">
        <v>36</v>
      </c>
      <c r="E41" s="29" t="s">
        <v>71</v>
      </c>
      <c r="F41" s="18" t="s">
        <v>79</v>
      </c>
      <c r="G41" s="10" t="s">
        <v>93</v>
      </c>
      <c r="H41" s="4" t="s">
        <v>38</v>
      </c>
      <c r="I41" s="9" t="s">
        <v>73</v>
      </c>
    </row>
    <row r="42" spans="2:9" ht="15" customHeight="1" x14ac:dyDescent="0.25">
      <c r="D42" s="27" t="s">
        <v>37</v>
      </c>
      <c r="E42" s="29" t="s">
        <v>72</v>
      </c>
      <c r="F42" s="19" t="s">
        <v>80</v>
      </c>
      <c r="G42" s="10" t="s">
        <v>94</v>
      </c>
      <c r="H42" s="4" t="s">
        <v>39</v>
      </c>
      <c r="I42" s="9" t="s">
        <v>97</v>
      </c>
    </row>
    <row r="43" spans="2:9" ht="15" customHeight="1" x14ac:dyDescent="0.25">
      <c r="D43" s="27" t="s">
        <v>38</v>
      </c>
      <c r="E43" s="29" t="s">
        <v>73</v>
      </c>
      <c r="F43" s="19" t="s">
        <v>81</v>
      </c>
      <c r="G43" s="10" t="s">
        <v>114</v>
      </c>
    </row>
    <row r="44" spans="2:9" ht="15" customHeight="1" x14ac:dyDescent="0.25">
      <c r="D44" s="27" t="s">
        <v>39</v>
      </c>
      <c r="E44" s="29" t="s">
        <v>97</v>
      </c>
      <c r="F44" s="19" t="s">
        <v>82</v>
      </c>
      <c r="G44" s="10" t="s">
        <v>96</v>
      </c>
    </row>
    <row r="45" spans="2:9" ht="15" customHeight="1" x14ac:dyDescent="0.25">
      <c r="D45" s="33"/>
      <c r="E45" s="32"/>
      <c r="F45" s="19" t="s">
        <v>36</v>
      </c>
      <c r="G45" s="9" t="s">
        <v>71</v>
      </c>
    </row>
    <row r="46" spans="2:9" ht="15" customHeight="1" x14ac:dyDescent="0.25">
      <c r="F46" s="19" t="s">
        <v>37</v>
      </c>
      <c r="G46" s="9" t="s">
        <v>72</v>
      </c>
    </row>
    <row r="47" spans="2:9" ht="15" customHeight="1" x14ac:dyDescent="0.25">
      <c r="F47" s="19" t="s">
        <v>38</v>
      </c>
      <c r="G47" s="9" t="s">
        <v>73</v>
      </c>
    </row>
    <row r="48" spans="2:9" ht="15" customHeight="1" x14ac:dyDescent="0.25">
      <c r="F48" s="19" t="s">
        <v>39</v>
      </c>
      <c r="G48" s="9" t="s">
        <v>74</v>
      </c>
    </row>
  </sheetData>
  <sortState ref="J4:K52">
    <sortCondition ref="J3"/>
  </sortState>
  <mergeCells count="5">
    <mergeCell ref="B2:C2"/>
    <mergeCell ref="D2:E2"/>
    <mergeCell ref="F2:G2"/>
    <mergeCell ref="H2:I2"/>
    <mergeCell ref="J2:K2"/>
  </mergeCells>
  <pageMargins left="0.7" right="0.7" top="0.75" bottom="0.75" header="0.3" footer="0.3"/>
  <pageSetup paperSize="9" orientation="portrait" r:id="rId1"/>
  <ignoredErrors>
    <ignoredError sqref="B3 D3 F3 H3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ier_Ind">
                <anchor moveWithCells="1" sizeWithCells="1">
                  <from>
                    <xdr:col>11</xdr:col>
                    <xdr:colOff>361950</xdr:colOff>
                    <xdr:row>0</xdr:row>
                    <xdr:rowOff>161925</xdr:rowOff>
                  </from>
                  <to>
                    <xdr:col>14</xdr:col>
                    <xdr:colOff>590550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61B93-B7B4-4F49-A0AC-CE533D221B7F}">
  <sheetPr codeName="Feuil2"/>
  <dimension ref="B1:AB315"/>
  <sheetViews>
    <sheetView showGridLines="0" tabSelected="1" zoomScale="80" zoomScaleNormal="80" workbookViewId="0">
      <selection activeCell="S20" sqref="S20"/>
    </sheetView>
  </sheetViews>
  <sheetFormatPr baseColWidth="10" defaultRowHeight="15" customHeight="1" outlineLevelCol="1" x14ac:dyDescent="0.25"/>
  <cols>
    <col min="1" max="1" width="2.85546875" customWidth="1"/>
    <col min="2" max="2" width="35.85546875" customWidth="1"/>
    <col min="3" max="3" width="14.28515625" style="2" hidden="1" customWidth="1" outlineLevel="1"/>
    <col min="4" max="4" width="17.140625" style="2" hidden="1" customWidth="1" outlineLevel="1"/>
    <col min="5" max="5" width="35.7109375" customWidth="1" collapsed="1"/>
    <col min="6" max="6" width="14.28515625" style="2" hidden="1" customWidth="1" outlineLevel="1"/>
    <col min="7" max="7" width="17.140625" style="2" hidden="1" customWidth="1" outlineLevel="1"/>
    <col min="8" max="8" width="35.85546875" customWidth="1" collapsed="1"/>
    <col min="9" max="9" width="14.28515625" style="2" hidden="1" customWidth="1" outlineLevel="1"/>
    <col min="10" max="10" width="17.140625" style="2" hidden="1" customWidth="1" outlineLevel="1"/>
    <col min="11" max="11" width="35.85546875" customWidth="1" collapsed="1"/>
    <col min="12" max="12" width="14.28515625" style="2" hidden="1" customWidth="1" outlineLevel="1"/>
    <col min="13" max="13" width="17.140625" style="2" hidden="1" customWidth="1" outlineLevel="1"/>
    <col min="14" max="14" width="35.7109375" customWidth="1" collapsed="1"/>
    <col min="15" max="15" width="14.28515625" hidden="1" customWidth="1" outlineLevel="1"/>
    <col min="16" max="16" width="17.140625" hidden="1" customWidth="1" outlineLevel="1"/>
    <col min="17" max="17" width="11.42578125" collapsed="1"/>
    <col min="20" max="20" width="2.85546875" customWidth="1"/>
    <col min="21" max="21" width="37.85546875" bestFit="1" customWidth="1"/>
    <col min="22" max="22" width="39.5703125" style="3" bestFit="1" customWidth="1"/>
    <col min="23" max="23" width="18.5703125" style="74" hidden="1" customWidth="1" outlineLevel="1"/>
    <col min="24" max="24" width="18.5703125" hidden="1" customWidth="1" outlineLevel="1"/>
    <col min="25" max="25" width="35.5703125" customWidth="1" collapsed="1"/>
    <col min="26" max="27" width="18.5703125" hidden="1" customWidth="1" outlineLevel="1"/>
    <col min="28" max="28" width="11.42578125" collapsed="1"/>
  </cols>
  <sheetData>
    <row r="1" spans="2:27" ht="15" customHeight="1" x14ac:dyDescent="0.25">
      <c r="U1" s="73"/>
      <c r="V1" s="72"/>
      <c r="W1" s="73"/>
    </row>
    <row r="2" spans="2:27" ht="37.5" customHeight="1" x14ac:dyDescent="0.25">
      <c r="B2" s="66" t="s">
        <v>246</v>
      </c>
      <c r="C2" s="67" t="s">
        <v>276</v>
      </c>
      <c r="D2" s="67" t="s">
        <v>275</v>
      </c>
      <c r="E2" s="66" t="s">
        <v>247</v>
      </c>
      <c r="F2" s="67" t="s">
        <v>274</v>
      </c>
      <c r="G2" s="67" t="s">
        <v>273</v>
      </c>
      <c r="H2" s="67" t="s">
        <v>248</v>
      </c>
      <c r="I2" s="67" t="s">
        <v>272</v>
      </c>
      <c r="J2" s="67" t="s">
        <v>271</v>
      </c>
      <c r="K2" s="66" t="s">
        <v>249</v>
      </c>
      <c r="L2" s="67" t="s">
        <v>269</v>
      </c>
      <c r="M2" s="67" t="s">
        <v>270</v>
      </c>
      <c r="N2" s="66" t="s">
        <v>250</v>
      </c>
      <c r="O2" s="67" t="s">
        <v>251</v>
      </c>
      <c r="P2" s="67" t="s">
        <v>252</v>
      </c>
      <c r="U2" s="66" t="s">
        <v>418</v>
      </c>
      <c r="V2" s="66" t="s">
        <v>414</v>
      </c>
      <c r="W2" s="67" t="s">
        <v>415</v>
      </c>
      <c r="X2" s="67" t="s">
        <v>419</v>
      </c>
      <c r="Y2" s="66" t="s">
        <v>416</v>
      </c>
      <c r="Z2" s="67" t="s">
        <v>417</v>
      </c>
      <c r="AA2" s="67" t="s">
        <v>420</v>
      </c>
    </row>
    <row r="3" spans="2:27" ht="15" customHeight="1" x14ac:dyDescent="0.25">
      <c r="B3" s="35" t="s">
        <v>151</v>
      </c>
      <c r="C3" s="58">
        <v>7</v>
      </c>
      <c r="D3" s="58" t="s">
        <v>259</v>
      </c>
      <c r="E3" s="35" t="s">
        <v>153</v>
      </c>
      <c r="F3" s="58">
        <v>7</v>
      </c>
      <c r="G3" s="58" t="s">
        <v>259</v>
      </c>
      <c r="H3" s="35" t="s">
        <v>151</v>
      </c>
      <c r="I3" s="58">
        <v>7</v>
      </c>
      <c r="J3" s="58" t="s">
        <v>259</v>
      </c>
      <c r="K3" s="35" t="s">
        <v>151</v>
      </c>
      <c r="L3" s="58">
        <v>7</v>
      </c>
      <c r="M3" s="58" t="s">
        <v>259</v>
      </c>
      <c r="N3" s="70" t="s">
        <v>409</v>
      </c>
      <c r="O3" s="58">
        <v>7</v>
      </c>
      <c r="P3" s="58" t="s">
        <v>259</v>
      </c>
      <c r="U3" s="70" t="s">
        <v>152</v>
      </c>
      <c r="V3" s="72" t="s">
        <v>407</v>
      </c>
      <c r="W3" s="75">
        <f>IF($V3="","",VLOOKUP($V3,$Y$3:$AA$200,2))</f>
        <v>170</v>
      </c>
      <c r="X3" s="75" t="str">
        <f>IF($V3="","",VLOOKUP($V3,$Y$3:$AA$200,3))</f>
        <v>Continuous</v>
      </c>
      <c r="Y3" s="70" t="s">
        <v>409</v>
      </c>
      <c r="Z3" s="58">
        <v>7</v>
      </c>
      <c r="AA3" s="58" t="s">
        <v>259</v>
      </c>
    </row>
    <row r="4" spans="2:27" ht="15" customHeight="1" x14ac:dyDescent="0.25">
      <c r="B4" s="35" t="s">
        <v>154</v>
      </c>
      <c r="C4" s="58">
        <v>10</v>
      </c>
      <c r="D4" s="58" t="s">
        <v>277</v>
      </c>
      <c r="E4" s="35" t="s">
        <v>156</v>
      </c>
      <c r="F4" s="58">
        <v>82</v>
      </c>
      <c r="G4" s="58" t="s">
        <v>259</v>
      </c>
      <c r="H4" s="35" t="s">
        <v>240</v>
      </c>
      <c r="I4" s="58">
        <v>7</v>
      </c>
      <c r="J4" s="58" t="s">
        <v>259</v>
      </c>
      <c r="K4" s="35" t="s">
        <v>154</v>
      </c>
      <c r="L4" s="58">
        <v>10</v>
      </c>
      <c r="M4" s="58" t="s">
        <v>277</v>
      </c>
      <c r="N4" s="70" t="s">
        <v>407</v>
      </c>
      <c r="O4" s="58">
        <v>170</v>
      </c>
      <c r="P4" s="58" t="s">
        <v>259</v>
      </c>
      <c r="U4" s="78" t="s">
        <v>317</v>
      </c>
      <c r="V4" s="76" t="s">
        <v>193</v>
      </c>
      <c r="W4" s="75">
        <f>IF($V4="","",VLOOKUP($V4,$Y$3:$AA$200,2))</f>
        <v>130</v>
      </c>
      <c r="X4" s="75" t="str">
        <f>IF($V4="","",VLOOKUP($V4,$Y$3:$AA$200,3))</f>
        <v>Continuous</v>
      </c>
      <c r="Y4" s="35" t="s">
        <v>151</v>
      </c>
      <c r="Z4" s="58">
        <v>7</v>
      </c>
      <c r="AA4" s="58" t="s">
        <v>259</v>
      </c>
    </row>
    <row r="5" spans="2:27" ht="15" customHeight="1" x14ac:dyDescent="0.25">
      <c r="B5" s="35" t="s">
        <v>242</v>
      </c>
      <c r="C5" s="58">
        <v>7</v>
      </c>
      <c r="D5" s="58" t="s">
        <v>259</v>
      </c>
      <c r="E5" s="35" t="s">
        <v>154</v>
      </c>
      <c r="F5" s="58">
        <v>10</v>
      </c>
      <c r="G5" s="58" t="s">
        <v>277</v>
      </c>
      <c r="H5" s="35" t="s">
        <v>154</v>
      </c>
      <c r="I5" s="58">
        <v>10</v>
      </c>
      <c r="J5" s="58" t="s">
        <v>277</v>
      </c>
      <c r="K5" s="35" t="s">
        <v>157</v>
      </c>
      <c r="L5" s="58">
        <v>190</v>
      </c>
      <c r="M5" s="58" t="s">
        <v>260</v>
      </c>
      <c r="N5" s="70" t="s">
        <v>410</v>
      </c>
      <c r="O5" s="58">
        <v>7</v>
      </c>
      <c r="P5" s="58" t="s">
        <v>259</v>
      </c>
      <c r="U5" s="70" t="s">
        <v>155</v>
      </c>
      <c r="V5" s="72" t="s">
        <v>409</v>
      </c>
      <c r="W5" s="75">
        <f>IF($V5="","",VLOOKUP($V5,$Y$3:$AA$200,2))</f>
        <v>7</v>
      </c>
      <c r="X5" s="75" t="str">
        <f>IF($V5="","",VLOOKUP($V5,$Y$3:$AA$200,3))</f>
        <v>Continuous</v>
      </c>
      <c r="Y5" s="70" t="s">
        <v>407</v>
      </c>
      <c r="Z5" s="58">
        <v>170</v>
      </c>
      <c r="AA5" s="58" t="s">
        <v>259</v>
      </c>
    </row>
    <row r="6" spans="2:27" ht="15" customHeight="1" x14ac:dyDescent="0.25">
      <c r="B6" s="35" t="s">
        <v>425</v>
      </c>
      <c r="C6" s="58">
        <v>7</v>
      </c>
      <c r="D6" s="58" t="s">
        <v>259</v>
      </c>
      <c r="E6" s="35" t="s">
        <v>157</v>
      </c>
      <c r="F6" s="58">
        <v>190</v>
      </c>
      <c r="G6" s="58" t="s">
        <v>260</v>
      </c>
      <c r="H6" s="35" t="s">
        <v>157</v>
      </c>
      <c r="I6" s="58">
        <v>190</v>
      </c>
      <c r="J6" s="58" t="s">
        <v>260</v>
      </c>
      <c r="K6" s="35" t="s">
        <v>242</v>
      </c>
      <c r="L6" s="58">
        <v>7</v>
      </c>
      <c r="M6" s="58" t="s">
        <v>259</v>
      </c>
      <c r="N6" s="70" t="s">
        <v>411</v>
      </c>
      <c r="O6" s="58">
        <v>7</v>
      </c>
      <c r="P6" s="58" t="s">
        <v>259</v>
      </c>
      <c r="U6" s="70" t="s">
        <v>158</v>
      </c>
      <c r="V6" s="72" t="s">
        <v>410</v>
      </c>
      <c r="W6" s="75">
        <f>IF($V6="","",VLOOKUP($V6,$Y$3:$AA$200,2))</f>
        <v>7</v>
      </c>
      <c r="X6" s="75" t="str">
        <f>IF($V6="","",VLOOKUP($V6,$Y$3:$AA$200,3))</f>
        <v>Continuous</v>
      </c>
      <c r="Y6" s="70" t="s">
        <v>410</v>
      </c>
      <c r="Z6" s="58">
        <v>7</v>
      </c>
      <c r="AA6" s="58" t="s">
        <v>259</v>
      </c>
    </row>
    <row r="7" spans="2:27" ht="15" customHeight="1" x14ac:dyDescent="0.25">
      <c r="B7" s="35" t="s">
        <v>118</v>
      </c>
      <c r="C7" s="58">
        <v>7</v>
      </c>
      <c r="D7" s="58" t="s">
        <v>259</v>
      </c>
      <c r="E7" s="35" t="s">
        <v>223</v>
      </c>
      <c r="F7" s="58">
        <v>21</v>
      </c>
      <c r="G7" s="58" t="s">
        <v>259</v>
      </c>
      <c r="H7" s="35" t="s">
        <v>242</v>
      </c>
      <c r="I7" s="58">
        <v>7</v>
      </c>
      <c r="J7" s="58" t="s">
        <v>259</v>
      </c>
      <c r="K7" s="35" t="s">
        <v>159</v>
      </c>
      <c r="L7" s="58">
        <v>98</v>
      </c>
      <c r="M7" s="58" t="s">
        <v>259</v>
      </c>
      <c r="N7" s="70" t="s">
        <v>412</v>
      </c>
      <c r="O7" s="58">
        <v>7</v>
      </c>
      <c r="P7" s="58" t="s">
        <v>259</v>
      </c>
      <c r="U7" s="70" t="s">
        <v>160</v>
      </c>
      <c r="V7" s="72" t="s">
        <v>411</v>
      </c>
      <c r="W7" s="75">
        <f>IF($V7="","",VLOOKUP($V7,$Y$3:$AA$200,2))</f>
        <v>7</v>
      </c>
      <c r="X7" s="75" t="str">
        <f>IF($V7="","",VLOOKUP($V7,$Y$3:$AA$200,3))</f>
        <v>Continuous</v>
      </c>
      <c r="Y7" s="35" t="s">
        <v>153</v>
      </c>
      <c r="Z7" s="58">
        <v>7</v>
      </c>
      <c r="AA7" s="58" t="s">
        <v>259</v>
      </c>
    </row>
    <row r="8" spans="2:27" ht="15" customHeight="1" x14ac:dyDescent="0.25">
      <c r="B8" s="35" t="s">
        <v>229</v>
      </c>
      <c r="C8" s="58">
        <v>7</v>
      </c>
      <c r="D8" s="58" t="s">
        <v>259</v>
      </c>
      <c r="E8" s="35" t="s">
        <v>242</v>
      </c>
      <c r="F8" s="58">
        <v>7</v>
      </c>
      <c r="G8" s="58" t="s">
        <v>259</v>
      </c>
      <c r="H8" s="35" t="s">
        <v>159</v>
      </c>
      <c r="I8" s="58">
        <v>98</v>
      </c>
      <c r="J8" s="58" t="s">
        <v>259</v>
      </c>
      <c r="K8" s="35" t="s">
        <v>425</v>
      </c>
      <c r="L8" s="58">
        <v>7</v>
      </c>
      <c r="M8" s="58" t="s">
        <v>259</v>
      </c>
      <c r="N8" s="70" t="s">
        <v>413</v>
      </c>
      <c r="O8" s="58">
        <v>7</v>
      </c>
      <c r="P8" s="58" t="s">
        <v>259</v>
      </c>
      <c r="U8" s="70" t="s">
        <v>161</v>
      </c>
      <c r="V8" s="72" t="s">
        <v>408</v>
      </c>
      <c r="W8" s="75">
        <f>IF($V8="","",VLOOKUP($V8,$Y$3:$AA$200,2))</f>
        <v>7</v>
      </c>
      <c r="X8" s="75" t="str">
        <f>IF($V8="","",VLOOKUP($V8,$Y$3:$AA$200,3))</f>
        <v>Continuous</v>
      </c>
      <c r="Y8" s="35" t="s">
        <v>240</v>
      </c>
      <c r="Z8" s="58">
        <v>7</v>
      </c>
      <c r="AA8" s="58" t="s">
        <v>259</v>
      </c>
    </row>
    <row r="9" spans="2:27" ht="15" customHeight="1" x14ac:dyDescent="0.25">
      <c r="B9" s="35" t="s">
        <v>120</v>
      </c>
      <c r="C9" s="58">
        <v>170</v>
      </c>
      <c r="D9" s="58" t="s">
        <v>259</v>
      </c>
      <c r="E9" s="35" t="s">
        <v>159</v>
      </c>
      <c r="F9" s="58">
        <v>98</v>
      </c>
      <c r="G9" s="58" t="s">
        <v>259</v>
      </c>
      <c r="H9" s="35" t="s">
        <v>425</v>
      </c>
      <c r="I9" s="58">
        <v>7</v>
      </c>
      <c r="J9" s="58" t="s">
        <v>259</v>
      </c>
      <c r="K9" s="35" t="s">
        <v>118</v>
      </c>
      <c r="L9" s="58">
        <v>7</v>
      </c>
      <c r="M9" s="58" t="s">
        <v>259</v>
      </c>
      <c r="N9" s="70" t="s">
        <v>408</v>
      </c>
      <c r="O9" s="58">
        <v>7</v>
      </c>
      <c r="P9" s="58" t="s">
        <v>259</v>
      </c>
      <c r="U9" s="70" t="s">
        <v>163</v>
      </c>
      <c r="V9" s="72" t="s">
        <v>412</v>
      </c>
      <c r="W9" s="75">
        <f>IF($V9="","",VLOOKUP($V9,$Y$3:$AA$200,2))</f>
        <v>7</v>
      </c>
      <c r="X9" s="75" t="str">
        <f>IF($V9="","",VLOOKUP($V9,$Y$3:$AA$200,3))</f>
        <v>Continuous</v>
      </c>
      <c r="Y9" s="70" t="s">
        <v>411</v>
      </c>
      <c r="Z9" s="58">
        <v>7</v>
      </c>
      <c r="AA9" s="58" t="s">
        <v>259</v>
      </c>
    </row>
    <row r="10" spans="2:27" ht="15" customHeight="1" x14ac:dyDescent="0.25">
      <c r="B10" s="35" t="s">
        <v>121</v>
      </c>
      <c r="C10" s="58">
        <v>170</v>
      </c>
      <c r="D10" s="58" t="s">
        <v>259</v>
      </c>
      <c r="E10" s="35" t="s">
        <v>162</v>
      </c>
      <c r="F10" s="58">
        <v>252</v>
      </c>
      <c r="G10" s="58" t="s">
        <v>259</v>
      </c>
      <c r="H10" s="35" t="s">
        <v>118</v>
      </c>
      <c r="I10" s="58">
        <v>7</v>
      </c>
      <c r="J10" s="58" t="s">
        <v>259</v>
      </c>
      <c r="K10" s="35" t="s">
        <v>119</v>
      </c>
      <c r="L10" s="58">
        <v>152</v>
      </c>
      <c r="M10" s="58" t="s">
        <v>255</v>
      </c>
      <c r="N10" s="53" t="s">
        <v>165</v>
      </c>
      <c r="O10" s="58">
        <v>202</v>
      </c>
      <c r="P10" s="58" t="s">
        <v>259</v>
      </c>
      <c r="U10" s="70" t="s">
        <v>164</v>
      </c>
      <c r="V10" s="72" t="s">
        <v>413</v>
      </c>
      <c r="W10" s="75">
        <f>IF($V10="","",VLOOKUP($V10,$Y$3:$AA$200,2))</f>
        <v>7</v>
      </c>
      <c r="X10" s="75" t="str">
        <f>IF($V10="","",VLOOKUP($V10,$Y$3:$AA$200,3))</f>
        <v>Continuous</v>
      </c>
      <c r="Y10" s="70" t="s">
        <v>412</v>
      </c>
      <c r="Z10" s="58">
        <v>7</v>
      </c>
      <c r="AA10" s="58" t="s">
        <v>259</v>
      </c>
    </row>
    <row r="11" spans="2:27" ht="15" customHeight="1" x14ac:dyDescent="0.25">
      <c r="B11" s="35" t="s">
        <v>122</v>
      </c>
      <c r="C11" s="58">
        <v>170</v>
      </c>
      <c r="D11" s="58" t="s">
        <v>259</v>
      </c>
      <c r="E11" s="35" t="s">
        <v>118</v>
      </c>
      <c r="F11" s="58">
        <v>7</v>
      </c>
      <c r="G11" s="58" t="s">
        <v>259</v>
      </c>
      <c r="H11" s="35" t="s">
        <v>119</v>
      </c>
      <c r="I11" s="58">
        <v>152</v>
      </c>
      <c r="J11" s="58" t="s">
        <v>255</v>
      </c>
      <c r="K11" s="35" t="s">
        <v>229</v>
      </c>
      <c r="L11" s="58">
        <v>7</v>
      </c>
      <c r="M11" s="58" t="s">
        <v>259</v>
      </c>
      <c r="N11" s="53" t="s">
        <v>167</v>
      </c>
      <c r="O11" s="58">
        <v>7</v>
      </c>
      <c r="P11" s="58" t="s">
        <v>259</v>
      </c>
      <c r="U11" s="77" t="s">
        <v>445</v>
      </c>
      <c r="V11" s="83" t="s">
        <v>193</v>
      </c>
      <c r="W11" s="75">
        <f>IF($V11="","",VLOOKUP($V11,$Y$3:$AA$200,2))</f>
        <v>130</v>
      </c>
      <c r="X11" s="75" t="str">
        <f>IF($V11="","",VLOOKUP($V11,$Y$3:$AA$200,3))</f>
        <v>Continuous</v>
      </c>
      <c r="Y11" s="35" t="s">
        <v>156</v>
      </c>
      <c r="Z11" s="58">
        <v>82</v>
      </c>
      <c r="AA11" s="58" t="s">
        <v>259</v>
      </c>
    </row>
    <row r="12" spans="2:27" ht="15" customHeight="1" x14ac:dyDescent="0.25">
      <c r="B12" s="35" t="s">
        <v>123</v>
      </c>
      <c r="C12" s="58">
        <v>7</v>
      </c>
      <c r="D12" s="58" t="s">
        <v>259</v>
      </c>
      <c r="E12" s="35" t="s">
        <v>229</v>
      </c>
      <c r="F12" s="58">
        <v>7</v>
      </c>
      <c r="G12" s="58" t="s">
        <v>259</v>
      </c>
      <c r="H12" s="35" t="s">
        <v>229</v>
      </c>
      <c r="I12" s="58">
        <v>7</v>
      </c>
      <c r="J12" s="58" t="s">
        <v>259</v>
      </c>
      <c r="K12" s="35" t="s">
        <v>120</v>
      </c>
      <c r="L12" s="58">
        <v>7</v>
      </c>
      <c r="M12" s="58" t="s">
        <v>259</v>
      </c>
      <c r="N12" s="53" t="s">
        <v>169</v>
      </c>
      <c r="O12" s="58">
        <v>7</v>
      </c>
      <c r="P12" s="58" t="s">
        <v>259</v>
      </c>
      <c r="U12" s="69" t="s">
        <v>312</v>
      </c>
      <c r="V12" s="76" t="s">
        <v>426</v>
      </c>
      <c r="W12" s="75">
        <f>IF($V12="","",VLOOKUP($V12,$Y$3:$AA$200,2))</f>
        <v>7</v>
      </c>
      <c r="X12" s="75" t="str">
        <f>IF($V12="","",VLOOKUP($V12,$Y$3:$AA$200,3))</f>
        <v>Continuous</v>
      </c>
      <c r="Y12" s="35" t="s">
        <v>154</v>
      </c>
      <c r="Z12" s="58">
        <v>10</v>
      </c>
      <c r="AA12" s="58" t="s">
        <v>277</v>
      </c>
    </row>
    <row r="13" spans="2:27" ht="15" customHeight="1" x14ac:dyDescent="0.25">
      <c r="B13" s="35" t="s">
        <v>210</v>
      </c>
      <c r="C13" s="58">
        <v>210</v>
      </c>
      <c r="D13" s="58" t="s">
        <v>259</v>
      </c>
      <c r="E13" s="35" t="s">
        <v>120</v>
      </c>
      <c r="F13" s="58">
        <v>170</v>
      </c>
      <c r="G13" s="58" t="s">
        <v>259</v>
      </c>
      <c r="H13" s="35" t="s">
        <v>120</v>
      </c>
      <c r="I13" s="58">
        <v>170</v>
      </c>
      <c r="J13" s="58" t="s">
        <v>259</v>
      </c>
      <c r="K13" s="35" t="s">
        <v>121</v>
      </c>
      <c r="L13" s="58">
        <v>170</v>
      </c>
      <c r="M13" s="58" t="s">
        <v>259</v>
      </c>
      <c r="N13" s="61" t="s">
        <v>174</v>
      </c>
      <c r="O13" s="58">
        <v>10</v>
      </c>
      <c r="P13" s="58" t="s">
        <v>259</v>
      </c>
      <c r="U13" s="69" t="s">
        <v>314</v>
      </c>
      <c r="V13" s="76" t="s">
        <v>426</v>
      </c>
      <c r="W13" s="75">
        <f>IF($V13="","",VLOOKUP($V13,$Y$3:$AA$200,2))</f>
        <v>7</v>
      </c>
      <c r="X13" s="75" t="str">
        <f>IF($V13="","",VLOOKUP($V13,$Y$3:$AA$200,3))</f>
        <v>Continuous</v>
      </c>
      <c r="Y13" s="35" t="s">
        <v>157</v>
      </c>
      <c r="Z13" s="58">
        <v>190</v>
      </c>
      <c r="AA13" s="58" t="s">
        <v>260</v>
      </c>
    </row>
    <row r="14" spans="2:27" ht="15" customHeight="1" x14ac:dyDescent="0.25">
      <c r="B14" s="35" t="s">
        <v>208</v>
      </c>
      <c r="C14" s="58">
        <v>10</v>
      </c>
      <c r="D14" s="58" t="s">
        <v>259</v>
      </c>
      <c r="E14" s="35" t="s">
        <v>166</v>
      </c>
      <c r="F14" s="58">
        <v>252</v>
      </c>
      <c r="G14" s="58" t="s">
        <v>259</v>
      </c>
      <c r="H14" s="35" t="s">
        <v>121</v>
      </c>
      <c r="I14" s="58">
        <v>170</v>
      </c>
      <c r="J14" s="58" t="s">
        <v>259</v>
      </c>
      <c r="K14" s="35" t="s">
        <v>122</v>
      </c>
      <c r="L14" s="58">
        <v>170</v>
      </c>
      <c r="M14" s="58" t="s">
        <v>259</v>
      </c>
      <c r="N14" s="53" t="s">
        <v>288</v>
      </c>
      <c r="O14" s="58">
        <v>152</v>
      </c>
      <c r="P14" s="58" t="s">
        <v>423</v>
      </c>
      <c r="U14" s="69" t="s">
        <v>315</v>
      </c>
      <c r="V14" s="72" t="s">
        <v>151</v>
      </c>
      <c r="W14" s="75">
        <f>IF($V14="","",VLOOKUP($V14,$Y$3:$AA$200,2))</f>
        <v>7</v>
      </c>
      <c r="X14" s="75" t="str">
        <f>IF($V14="","",VLOOKUP($V14,$Y$3:$AA$200,3))</f>
        <v>Continuous</v>
      </c>
      <c r="Y14" s="70" t="s">
        <v>413</v>
      </c>
      <c r="Z14" s="58">
        <v>7</v>
      </c>
      <c r="AA14" s="58" t="s">
        <v>259</v>
      </c>
    </row>
    <row r="15" spans="2:27" ht="15" customHeight="1" x14ac:dyDescent="0.25">
      <c r="B15" s="35" t="s">
        <v>170</v>
      </c>
      <c r="C15" s="58">
        <v>170</v>
      </c>
      <c r="D15" s="58" t="s">
        <v>259</v>
      </c>
      <c r="E15" s="35" t="s">
        <v>225</v>
      </c>
      <c r="F15" s="58">
        <v>50</v>
      </c>
      <c r="G15" s="58" t="s">
        <v>259</v>
      </c>
      <c r="H15" s="35" t="s">
        <v>122</v>
      </c>
      <c r="I15" s="58">
        <v>170</v>
      </c>
      <c r="J15" s="58" t="s">
        <v>259</v>
      </c>
      <c r="K15" s="35" t="s">
        <v>123</v>
      </c>
      <c r="L15" s="58">
        <v>7</v>
      </c>
      <c r="M15" s="58" t="s">
        <v>259</v>
      </c>
      <c r="N15" s="53" t="s">
        <v>171</v>
      </c>
      <c r="O15" s="58">
        <v>152</v>
      </c>
      <c r="P15" s="58" t="s">
        <v>264</v>
      </c>
      <c r="U15" s="69" t="s">
        <v>151</v>
      </c>
      <c r="V15" s="72" t="s">
        <v>151</v>
      </c>
      <c r="W15" s="75">
        <f>IF($V15="","",VLOOKUP($V15,$Y$3:$AA$200,2))</f>
        <v>7</v>
      </c>
      <c r="X15" s="75" t="str">
        <f>IF($V15="","",VLOOKUP($V15,$Y$3:$AA$200,3))</f>
        <v>Continuous</v>
      </c>
      <c r="Y15" s="70" t="s">
        <v>408</v>
      </c>
      <c r="Z15" s="58">
        <v>7</v>
      </c>
      <c r="AA15" s="58" t="s">
        <v>259</v>
      </c>
    </row>
    <row r="16" spans="2:27" ht="15" customHeight="1" x14ac:dyDescent="0.25">
      <c r="B16" s="35" t="s">
        <v>124</v>
      </c>
      <c r="C16" s="58">
        <v>253</v>
      </c>
      <c r="D16" s="58" t="s">
        <v>259</v>
      </c>
      <c r="E16" s="35" t="s">
        <v>121</v>
      </c>
      <c r="F16" s="58">
        <v>170</v>
      </c>
      <c r="G16" s="58" t="s">
        <v>259</v>
      </c>
      <c r="H16" s="35" t="s">
        <v>123</v>
      </c>
      <c r="I16" s="58">
        <v>7</v>
      </c>
      <c r="J16" s="58" t="s">
        <v>259</v>
      </c>
      <c r="K16" s="35" t="s">
        <v>209</v>
      </c>
      <c r="L16" s="58">
        <v>210</v>
      </c>
      <c r="M16" s="58" t="s">
        <v>259</v>
      </c>
      <c r="N16" s="53" t="s">
        <v>172</v>
      </c>
      <c r="O16" s="58">
        <v>40</v>
      </c>
      <c r="P16" s="58" t="s">
        <v>267</v>
      </c>
      <c r="U16" s="69" t="s">
        <v>313</v>
      </c>
      <c r="V16" s="72" t="s">
        <v>242</v>
      </c>
      <c r="W16" s="75">
        <f>IF($V16="","",VLOOKUP($V16,$Y$3:$AA$200,2))</f>
        <v>7</v>
      </c>
      <c r="X16" s="75" t="str">
        <f>IF($V16="","",VLOOKUP($V16,$Y$3:$AA$200,3))</f>
        <v>Continuous</v>
      </c>
      <c r="Y16" s="35" t="s">
        <v>223</v>
      </c>
      <c r="Z16" s="58">
        <v>21</v>
      </c>
      <c r="AA16" s="58" t="s">
        <v>259</v>
      </c>
    </row>
    <row r="17" spans="2:27" ht="15" customHeight="1" x14ac:dyDescent="0.25">
      <c r="B17" s="35" t="s">
        <v>125</v>
      </c>
      <c r="C17" s="58">
        <v>30</v>
      </c>
      <c r="D17" s="58" t="s">
        <v>259</v>
      </c>
      <c r="E17" s="35" t="s">
        <v>218</v>
      </c>
      <c r="F17" s="58">
        <v>113</v>
      </c>
      <c r="G17" s="58" t="s">
        <v>259</v>
      </c>
      <c r="H17" s="35" t="s">
        <v>241</v>
      </c>
      <c r="I17" s="58">
        <v>8</v>
      </c>
      <c r="J17" s="58" t="s">
        <v>259</v>
      </c>
      <c r="K17" s="56" t="s">
        <v>208</v>
      </c>
      <c r="L17" s="58">
        <v>10</v>
      </c>
      <c r="M17" s="58" t="s">
        <v>259</v>
      </c>
      <c r="N17" s="53" t="s">
        <v>173</v>
      </c>
      <c r="O17" s="58">
        <v>64</v>
      </c>
      <c r="P17" s="58" t="s">
        <v>261</v>
      </c>
      <c r="U17" s="69" t="s">
        <v>153</v>
      </c>
      <c r="V17" s="69" t="s">
        <v>153</v>
      </c>
      <c r="W17" s="75">
        <f>IF($V17="","",VLOOKUP($V17,$Y$3:$AA$200,2))</f>
        <v>7</v>
      </c>
      <c r="X17" s="75" t="str">
        <f>IF($V17="","",VLOOKUP($V17,$Y$3:$AA$200,3))</f>
        <v>Continuous</v>
      </c>
      <c r="Y17" s="35" t="s">
        <v>242</v>
      </c>
      <c r="Z17" s="58">
        <v>7</v>
      </c>
      <c r="AA17" s="58" t="s">
        <v>259</v>
      </c>
    </row>
    <row r="18" spans="2:27" ht="15" customHeight="1" x14ac:dyDescent="0.25">
      <c r="B18" s="59" t="s">
        <v>174</v>
      </c>
      <c r="C18" s="58">
        <v>10</v>
      </c>
      <c r="D18" s="58" t="s">
        <v>259</v>
      </c>
      <c r="E18" s="35" t="s">
        <v>224</v>
      </c>
      <c r="F18" s="58">
        <v>152</v>
      </c>
      <c r="G18" s="58" t="s">
        <v>255</v>
      </c>
      <c r="H18" s="35" t="s">
        <v>208</v>
      </c>
      <c r="I18" s="58">
        <v>10</v>
      </c>
      <c r="J18" s="58" t="s">
        <v>259</v>
      </c>
      <c r="K18" s="35" t="s">
        <v>170</v>
      </c>
      <c r="L18" s="58">
        <v>170</v>
      </c>
      <c r="M18" s="58" t="s">
        <v>259</v>
      </c>
      <c r="N18" s="53" t="s">
        <v>176</v>
      </c>
      <c r="O18" s="58">
        <v>141</v>
      </c>
      <c r="P18" s="58" t="s">
        <v>262</v>
      </c>
      <c r="U18" s="69" t="s">
        <v>318</v>
      </c>
      <c r="V18" s="72" t="s">
        <v>218</v>
      </c>
      <c r="W18" s="75">
        <f>IF($V18="","",VLOOKUP($V18,$Y$3:$AA$200,2))</f>
        <v>113</v>
      </c>
      <c r="X18" s="75" t="str">
        <f>IF($V18="","",VLOOKUP($V18,$Y$3:$AA$200,3))</f>
        <v>Continuous</v>
      </c>
      <c r="Y18" s="35" t="s">
        <v>159</v>
      </c>
      <c r="Z18" s="58">
        <v>98</v>
      </c>
      <c r="AA18" s="58" t="s">
        <v>259</v>
      </c>
    </row>
    <row r="19" spans="2:27" ht="15" customHeight="1" x14ac:dyDescent="0.25">
      <c r="B19" s="35" t="s">
        <v>212</v>
      </c>
      <c r="C19" s="58">
        <v>30</v>
      </c>
      <c r="D19" s="58" t="s">
        <v>259</v>
      </c>
      <c r="E19" s="35" t="s">
        <v>175</v>
      </c>
      <c r="F19" s="58">
        <v>170</v>
      </c>
      <c r="G19" s="58" t="s">
        <v>259</v>
      </c>
      <c r="H19" s="35" t="s">
        <v>170</v>
      </c>
      <c r="I19" s="58">
        <v>170</v>
      </c>
      <c r="J19" s="58" t="s">
        <v>259</v>
      </c>
      <c r="K19" s="59" t="s">
        <v>174</v>
      </c>
      <c r="L19" s="58">
        <v>10</v>
      </c>
      <c r="M19" s="58" t="s">
        <v>259</v>
      </c>
      <c r="N19" s="53" t="s">
        <v>290</v>
      </c>
      <c r="O19" s="58">
        <v>64</v>
      </c>
      <c r="P19" s="58" t="s">
        <v>266</v>
      </c>
      <c r="U19" s="69" t="s">
        <v>319</v>
      </c>
      <c r="V19" s="72" t="s">
        <v>240</v>
      </c>
      <c r="W19" s="75">
        <f>IF($V19="","",VLOOKUP($V19,$Y$3:$AA$200,2))</f>
        <v>7</v>
      </c>
      <c r="X19" s="75" t="str">
        <f>IF($V19="","",VLOOKUP($V19,$Y$3:$AA$200,3))</f>
        <v>Continuous</v>
      </c>
      <c r="Y19" s="35" t="s">
        <v>162</v>
      </c>
      <c r="Z19" s="58">
        <v>252</v>
      </c>
      <c r="AA19" s="58" t="s">
        <v>259</v>
      </c>
    </row>
    <row r="20" spans="2:27" ht="15" customHeight="1" x14ac:dyDescent="0.25">
      <c r="B20" s="35" t="s">
        <v>126</v>
      </c>
      <c r="C20" s="58">
        <v>10</v>
      </c>
      <c r="D20" s="58" t="s">
        <v>259</v>
      </c>
      <c r="E20" s="35" t="s">
        <v>123</v>
      </c>
      <c r="F20" s="58">
        <v>7</v>
      </c>
      <c r="G20" s="58" t="s">
        <v>259</v>
      </c>
      <c r="H20" s="59" t="s">
        <v>174</v>
      </c>
      <c r="I20" s="58">
        <v>10</v>
      </c>
      <c r="J20" s="58" t="s">
        <v>259</v>
      </c>
      <c r="K20" s="35" t="s">
        <v>212</v>
      </c>
      <c r="L20" s="58">
        <v>30</v>
      </c>
      <c r="M20" s="58" t="s">
        <v>259</v>
      </c>
      <c r="N20" s="53" t="s">
        <v>177</v>
      </c>
      <c r="O20" s="58">
        <v>7</v>
      </c>
      <c r="P20" s="58" t="s">
        <v>268</v>
      </c>
      <c r="U20" s="69" t="s">
        <v>156</v>
      </c>
      <c r="V20" s="69" t="s">
        <v>156</v>
      </c>
      <c r="W20" s="75">
        <f>IF($V20="","",VLOOKUP($V20,$Y$3:$AA$200,2))</f>
        <v>82</v>
      </c>
      <c r="X20" s="75" t="str">
        <f>IF($V20="","",VLOOKUP($V20,$Y$3:$AA$200,3))</f>
        <v>Continuous</v>
      </c>
      <c r="Y20" s="35" t="s">
        <v>425</v>
      </c>
      <c r="Z20" s="58">
        <v>7</v>
      </c>
      <c r="AA20" s="58" t="s">
        <v>259</v>
      </c>
    </row>
    <row r="21" spans="2:27" ht="15" customHeight="1" x14ac:dyDescent="0.25">
      <c r="B21" s="35" t="s">
        <v>228</v>
      </c>
      <c r="C21" s="58">
        <v>7</v>
      </c>
      <c r="D21" s="58" t="s">
        <v>259</v>
      </c>
      <c r="E21" s="35" t="s">
        <v>208</v>
      </c>
      <c r="F21" s="58">
        <v>10</v>
      </c>
      <c r="G21" s="58" t="s">
        <v>259</v>
      </c>
      <c r="H21" s="35" t="s">
        <v>212</v>
      </c>
      <c r="I21" s="58">
        <v>30</v>
      </c>
      <c r="J21" s="58" t="s">
        <v>259</v>
      </c>
      <c r="K21" s="35" t="s">
        <v>126</v>
      </c>
      <c r="L21" s="58">
        <v>10</v>
      </c>
      <c r="M21" s="58" t="s">
        <v>259</v>
      </c>
      <c r="N21" s="53" t="s">
        <v>178</v>
      </c>
      <c r="O21" s="58">
        <v>170</v>
      </c>
      <c r="P21" s="58" t="s">
        <v>255</v>
      </c>
      <c r="U21" s="69" t="s">
        <v>316</v>
      </c>
      <c r="V21" s="72" t="s">
        <v>209</v>
      </c>
      <c r="W21" s="75">
        <f>IF($V21="","",VLOOKUP($V21,$Y$3:$AA$200,2))</f>
        <v>210</v>
      </c>
      <c r="X21" s="75" t="str">
        <f>IF($V21="","",VLOOKUP($V21,$Y$3:$AA$200,3))</f>
        <v>Continuous</v>
      </c>
      <c r="Y21" s="35" t="s">
        <v>118</v>
      </c>
      <c r="Z21" s="58">
        <v>7</v>
      </c>
      <c r="AA21" s="58" t="s">
        <v>259</v>
      </c>
    </row>
    <row r="22" spans="2:27" ht="15" customHeight="1" x14ac:dyDescent="0.25">
      <c r="B22" s="35" t="s">
        <v>127</v>
      </c>
      <c r="C22" s="58">
        <v>170</v>
      </c>
      <c r="D22" s="58" t="s">
        <v>259</v>
      </c>
      <c r="E22" s="35" t="s">
        <v>170</v>
      </c>
      <c r="F22" s="58">
        <v>170</v>
      </c>
      <c r="G22" s="58" t="s">
        <v>259</v>
      </c>
      <c r="H22" s="35" t="s">
        <v>126</v>
      </c>
      <c r="I22" s="58">
        <v>10</v>
      </c>
      <c r="J22" s="58" t="s">
        <v>259</v>
      </c>
      <c r="K22" s="35" t="s">
        <v>228</v>
      </c>
      <c r="L22" s="58">
        <v>7</v>
      </c>
      <c r="M22" s="58" t="s">
        <v>259</v>
      </c>
      <c r="N22" s="59" t="s">
        <v>426</v>
      </c>
      <c r="O22" s="58">
        <v>7</v>
      </c>
      <c r="P22" s="58" t="s">
        <v>259</v>
      </c>
      <c r="U22" s="69" t="s">
        <v>154</v>
      </c>
      <c r="V22" s="69" t="s">
        <v>154</v>
      </c>
      <c r="W22" s="75">
        <f>IF($V22="","",VLOOKUP($V22,$Y$3:$AA$200,2))</f>
        <v>10</v>
      </c>
      <c r="X22" s="75" t="str">
        <f>IF($V22="","",VLOOKUP($V22,$Y$3:$AA$200,3))</f>
        <v>FANTOME2</v>
      </c>
      <c r="Y22" s="35" t="s">
        <v>119</v>
      </c>
      <c r="Z22" s="58">
        <v>152</v>
      </c>
      <c r="AA22" s="58" t="s">
        <v>255</v>
      </c>
    </row>
    <row r="23" spans="2:27" ht="15" customHeight="1" x14ac:dyDescent="0.25">
      <c r="B23" s="35" t="s">
        <v>179</v>
      </c>
      <c r="C23" s="58">
        <v>7</v>
      </c>
      <c r="D23" s="58" t="s">
        <v>259</v>
      </c>
      <c r="E23" s="59" t="s">
        <v>174</v>
      </c>
      <c r="F23" s="58">
        <v>10</v>
      </c>
      <c r="G23" s="58" t="s">
        <v>259</v>
      </c>
      <c r="H23" s="35" t="s">
        <v>228</v>
      </c>
      <c r="I23" s="58">
        <v>7</v>
      </c>
      <c r="J23" s="58" t="s">
        <v>259</v>
      </c>
      <c r="K23" s="35" t="s">
        <v>127</v>
      </c>
      <c r="L23" s="58">
        <v>170</v>
      </c>
      <c r="M23" s="58" t="s">
        <v>259</v>
      </c>
      <c r="N23" s="61" t="s">
        <v>145</v>
      </c>
      <c r="O23" s="58">
        <v>210</v>
      </c>
      <c r="P23" s="58" t="s">
        <v>259</v>
      </c>
      <c r="U23" s="69" t="s">
        <v>157</v>
      </c>
      <c r="V23" s="69" t="s">
        <v>157</v>
      </c>
      <c r="W23" s="75">
        <f>IF($V23="","",VLOOKUP($V23,$Y$3:$AA$200,2))</f>
        <v>190</v>
      </c>
      <c r="X23" s="75" t="str">
        <f>IF($V23="","",VLOOKUP($V23,$Y$3:$AA$200,3))</f>
        <v>HIDDEN2</v>
      </c>
      <c r="Y23" s="35" t="s">
        <v>229</v>
      </c>
      <c r="Z23" s="58">
        <v>7</v>
      </c>
      <c r="AA23" s="58" t="s">
        <v>259</v>
      </c>
    </row>
    <row r="24" spans="2:27" ht="15" customHeight="1" x14ac:dyDescent="0.25">
      <c r="B24" s="35" t="s">
        <v>128</v>
      </c>
      <c r="C24" s="58">
        <v>10</v>
      </c>
      <c r="D24" s="58" t="s">
        <v>424</v>
      </c>
      <c r="E24" s="35" t="s">
        <v>212</v>
      </c>
      <c r="F24" s="58">
        <v>30</v>
      </c>
      <c r="G24" s="58" t="s">
        <v>259</v>
      </c>
      <c r="H24" s="35" t="s">
        <v>127</v>
      </c>
      <c r="I24" s="58">
        <v>170</v>
      </c>
      <c r="J24" s="58" t="s">
        <v>259</v>
      </c>
      <c r="K24" s="35" t="s">
        <v>179</v>
      </c>
      <c r="L24" s="58">
        <v>7</v>
      </c>
      <c r="M24" s="58" t="s">
        <v>259</v>
      </c>
      <c r="N24" s="53" t="s">
        <v>146</v>
      </c>
      <c r="O24" s="58">
        <v>7</v>
      </c>
      <c r="P24" s="58" t="s">
        <v>259</v>
      </c>
      <c r="U24" s="78" t="s">
        <v>325</v>
      </c>
      <c r="V24" s="76" t="s">
        <v>174</v>
      </c>
      <c r="W24" s="75">
        <f>IF($V24="","",VLOOKUP($V24,$Y$3:$AA$200,2))</f>
        <v>10</v>
      </c>
      <c r="X24" s="75" t="str">
        <f>IF($V24="","",VLOOKUP($V24,$Y$3:$AA$200,3))</f>
        <v>Continuous</v>
      </c>
      <c r="Y24" s="35" t="s">
        <v>120</v>
      </c>
      <c r="Z24" s="58">
        <v>170</v>
      </c>
      <c r="AA24" s="58" t="s">
        <v>259</v>
      </c>
    </row>
    <row r="25" spans="2:27" ht="15" customHeight="1" x14ac:dyDescent="0.25">
      <c r="B25" s="35" t="s">
        <v>186</v>
      </c>
      <c r="C25" s="58">
        <v>7</v>
      </c>
      <c r="D25" s="58" t="s">
        <v>259</v>
      </c>
      <c r="E25" s="35" t="s">
        <v>126</v>
      </c>
      <c r="F25" s="58">
        <v>10</v>
      </c>
      <c r="G25" s="58" t="s">
        <v>259</v>
      </c>
      <c r="H25" s="35" t="s">
        <v>181</v>
      </c>
      <c r="I25" s="58">
        <v>10</v>
      </c>
      <c r="J25" s="58" t="s">
        <v>259</v>
      </c>
      <c r="K25" s="35" t="s">
        <v>186</v>
      </c>
      <c r="L25" s="58">
        <v>7</v>
      </c>
      <c r="M25" s="58" t="s">
        <v>259</v>
      </c>
      <c r="N25" s="61" t="s">
        <v>193</v>
      </c>
      <c r="O25" s="58">
        <v>130</v>
      </c>
      <c r="P25" s="58" t="s">
        <v>259</v>
      </c>
      <c r="U25" s="69" t="s">
        <v>321</v>
      </c>
      <c r="V25" s="76" t="s">
        <v>426</v>
      </c>
      <c r="W25" s="75">
        <f>IF($V25="","",VLOOKUP($V25,$Y$3:$AA$200,2))</f>
        <v>7</v>
      </c>
      <c r="X25" s="75" t="str">
        <f>IF($V25="","",VLOOKUP($V25,$Y$3:$AA$200,3))</f>
        <v>Continuous</v>
      </c>
      <c r="Y25" s="35" t="s">
        <v>166</v>
      </c>
      <c r="Z25" s="58">
        <v>252</v>
      </c>
      <c r="AA25" s="58" t="s">
        <v>259</v>
      </c>
    </row>
    <row r="26" spans="2:27" ht="15" customHeight="1" x14ac:dyDescent="0.25">
      <c r="B26" s="35" t="s">
        <v>129</v>
      </c>
      <c r="C26" s="58">
        <v>50</v>
      </c>
      <c r="D26" s="58" t="s">
        <v>259</v>
      </c>
      <c r="E26" s="35" t="s">
        <v>228</v>
      </c>
      <c r="F26" s="58">
        <v>7</v>
      </c>
      <c r="G26" s="58" t="s">
        <v>259</v>
      </c>
      <c r="H26" s="35" t="s">
        <v>179</v>
      </c>
      <c r="I26" s="58">
        <v>7</v>
      </c>
      <c r="J26" s="58" t="s">
        <v>259</v>
      </c>
      <c r="K26" s="35" t="s">
        <v>187</v>
      </c>
      <c r="L26" s="58">
        <v>130</v>
      </c>
      <c r="M26" s="58" t="s">
        <v>259</v>
      </c>
      <c r="N26" s="53" t="s">
        <v>289</v>
      </c>
      <c r="O26" s="58">
        <v>202</v>
      </c>
      <c r="P26" s="58" t="s">
        <v>255</v>
      </c>
      <c r="U26" s="69" t="s">
        <v>159</v>
      </c>
      <c r="V26" s="69" t="s">
        <v>159</v>
      </c>
      <c r="W26" s="75">
        <f>IF($V26="","",VLOOKUP($V26,$Y$3:$AA$200,2))</f>
        <v>98</v>
      </c>
      <c r="X26" s="75" t="str">
        <f>IF($V26="","",VLOOKUP($V26,$Y$3:$AA$200,3))</f>
        <v>Continuous</v>
      </c>
      <c r="Y26" s="35" t="s">
        <v>225</v>
      </c>
      <c r="Z26" s="58">
        <v>50</v>
      </c>
      <c r="AA26" s="58" t="s">
        <v>259</v>
      </c>
    </row>
    <row r="27" spans="2:27" ht="15" customHeight="1" x14ac:dyDescent="0.25">
      <c r="B27" s="35" t="s">
        <v>130</v>
      </c>
      <c r="C27" s="58">
        <v>7</v>
      </c>
      <c r="D27" s="58" t="s">
        <v>259</v>
      </c>
      <c r="E27" s="35" t="s">
        <v>180</v>
      </c>
      <c r="F27" s="58">
        <v>7</v>
      </c>
      <c r="G27" s="58" t="s">
        <v>259</v>
      </c>
      <c r="H27" s="35" t="s">
        <v>128</v>
      </c>
      <c r="I27" s="58">
        <v>10</v>
      </c>
      <c r="J27" s="58" t="s">
        <v>424</v>
      </c>
      <c r="K27" s="35" t="s">
        <v>130</v>
      </c>
      <c r="L27" s="58">
        <v>7</v>
      </c>
      <c r="M27" s="58" t="s">
        <v>259</v>
      </c>
      <c r="N27" s="53" t="s">
        <v>147</v>
      </c>
      <c r="O27" s="58">
        <v>7</v>
      </c>
      <c r="P27" s="58" t="s">
        <v>259</v>
      </c>
      <c r="U27" s="69" t="s">
        <v>162</v>
      </c>
      <c r="V27" s="69" t="s">
        <v>162</v>
      </c>
      <c r="W27" s="75">
        <f>IF($V27="","",VLOOKUP($V27,$Y$3:$AA$200,2))</f>
        <v>252</v>
      </c>
      <c r="X27" s="75" t="str">
        <f>IF($V27="","",VLOOKUP($V27,$Y$3:$AA$200,3))</f>
        <v>Continuous</v>
      </c>
      <c r="Y27" s="35" t="s">
        <v>121</v>
      </c>
      <c r="Z27" s="58">
        <v>170</v>
      </c>
      <c r="AA27" s="58" t="s">
        <v>259</v>
      </c>
    </row>
    <row r="28" spans="2:27" ht="15" customHeight="1" x14ac:dyDescent="0.25">
      <c r="B28" s="35" t="s">
        <v>214</v>
      </c>
      <c r="C28" s="58">
        <v>7</v>
      </c>
      <c r="D28" s="58" t="s">
        <v>259</v>
      </c>
      <c r="E28" s="35" t="s">
        <v>127</v>
      </c>
      <c r="F28" s="58">
        <v>170</v>
      </c>
      <c r="G28" s="58" t="s">
        <v>259</v>
      </c>
      <c r="H28" s="35" t="s">
        <v>185</v>
      </c>
      <c r="I28" s="58">
        <v>253</v>
      </c>
      <c r="J28" s="58" t="s">
        <v>259</v>
      </c>
      <c r="K28" s="35" t="s">
        <v>243</v>
      </c>
      <c r="L28" s="58">
        <v>254</v>
      </c>
      <c r="M28" s="58" t="s">
        <v>259</v>
      </c>
      <c r="N28" s="53"/>
      <c r="O28" s="58"/>
      <c r="P28" s="58"/>
      <c r="U28" s="69" t="s">
        <v>322</v>
      </c>
      <c r="V28" s="72" t="s">
        <v>219</v>
      </c>
      <c r="W28" s="75">
        <f>IF($V28="","",VLOOKUP($V28,$Y$3:$AA$200,2))</f>
        <v>252</v>
      </c>
      <c r="X28" s="75" t="str">
        <f>IF($V28="","",VLOOKUP($V28,$Y$3:$AA$200,3))</f>
        <v>Continuous</v>
      </c>
      <c r="Y28" s="35" t="s">
        <v>122</v>
      </c>
      <c r="Z28" s="58">
        <v>170</v>
      </c>
      <c r="AA28" s="58" t="s">
        <v>259</v>
      </c>
    </row>
    <row r="29" spans="2:27" ht="15" customHeight="1" x14ac:dyDescent="0.25">
      <c r="B29" s="35" t="s">
        <v>215</v>
      </c>
      <c r="C29" s="58">
        <v>7</v>
      </c>
      <c r="D29" s="58" t="s">
        <v>259</v>
      </c>
      <c r="E29" s="35" t="s">
        <v>227</v>
      </c>
      <c r="F29" s="58">
        <v>7</v>
      </c>
      <c r="G29" s="58" t="s">
        <v>259</v>
      </c>
      <c r="H29" s="35" t="s">
        <v>186</v>
      </c>
      <c r="I29" s="58">
        <v>7</v>
      </c>
      <c r="J29" s="58" t="s">
        <v>259</v>
      </c>
      <c r="K29" s="35" t="s">
        <v>244</v>
      </c>
      <c r="L29" s="58">
        <v>253</v>
      </c>
      <c r="M29" s="58" t="s">
        <v>259</v>
      </c>
      <c r="N29" s="53"/>
      <c r="O29" s="58"/>
      <c r="P29" s="58"/>
      <c r="U29" s="69" t="s">
        <v>118</v>
      </c>
      <c r="V29" s="69" t="s">
        <v>118</v>
      </c>
      <c r="W29" s="75">
        <f>IF($V29="","",VLOOKUP($V29,$Y$3:$AA$200,2))</f>
        <v>7</v>
      </c>
      <c r="X29" s="75" t="str">
        <f>IF($V29="","",VLOOKUP($V29,$Y$3:$AA$200,3))</f>
        <v>Continuous</v>
      </c>
      <c r="Y29" s="35" t="s">
        <v>218</v>
      </c>
      <c r="Z29" s="58">
        <v>113</v>
      </c>
      <c r="AA29" s="58" t="s">
        <v>259</v>
      </c>
    </row>
    <row r="30" spans="2:27" ht="15" customHeight="1" x14ac:dyDescent="0.25">
      <c r="B30" s="35" t="s">
        <v>131</v>
      </c>
      <c r="C30" s="58">
        <v>62</v>
      </c>
      <c r="D30" s="58" t="s">
        <v>259</v>
      </c>
      <c r="E30" s="35" t="s">
        <v>179</v>
      </c>
      <c r="F30" s="58">
        <v>7</v>
      </c>
      <c r="G30" s="58" t="s">
        <v>259</v>
      </c>
      <c r="H30" s="35" t="s">
        <v>187</v>
      </c>
      <c r="I30" s="58">
        <v>130</v>
      </c>
      <c r="J30" s="58" t="s">
        <v>259</v>
      </c>
      <c r="K30" s="35" t="s">
        <v>431</v>
      </c>
      <c r="L30" s="58">
        <v>164</v>
      </c>
      <c r="M30" s="58" t="s">
        <v>256</v>
      </c>
      <c r="N30" s="53"/>
      <c r="O30" s="58"/>
      <c r="P30" s="58"/>
      <c r="U30" s="69" t="s">
        <v>119</v>
      </c>
      <c r="V30" s="69" t="s">
        <v>119</v>
      </c>
      <c r="W30" s="75">
        <f>IF($V30="","",VLOOKUP($V30,$Y$3:$AA$200,2))</f>
        <v>152</v>
      </c>
      <c r="X30" s="75" t="str">
        <f>IF($V30="","",VLOOKUP($V30,$Y$3:$AA$200,3))</f>
        <v>AXES2</v>
      </c>
      <c r="Y30" s="53" t="s">
        <v>165</v>
      </c>
      <c r="Z30" s="58">
        <v>202</v>
      </c>
      <c r="AA30" s="58" t="s">
        <v>259</v>
      </c>
    </row>
    <row r="31" spans="2:27" ht="15" customHeight="1" x14ac:dyDescent="0.25">
      <c r="B31" s="35" t="s">
        <v>431</v>
      </c>
      <c r="C31" s="58">
        <v>164</v>
      </c>
      <c r="D31" s="58" t="s">
        <v>256</v>
      </c>
      <c r="E31" s="35" t="s">
        <v>184</v>
      </c>
      <c r="F31" s="58">
        <v>234</v>
      </c>
      <c r="G31" s="58" t="s">
        <v>259</v>
      </c>
      <c r="H31" s="35" t="s">
        <v>130</v>
      </c>
      <c r="I31" s="58">
        <v>7</v>
      </c>
      <c r="J31" s="58" t="s">
        <v>259</v>
      </c>
      <c r="K31" s="35" t="s">
        <v>237</v>
      </c>
      <c r="L31" s="58">
        <v>173</v>
      </c>
      <c r="M31" s="58" t="s">
        <v>266</v>
      </c>
      <c r="N31" s="53"/>
      <c r="O31" s="58"/>
      <c r="P31" s="58"/>
      <c r="U31" s="69" t="s">
        <v>320</v>
      </c>
      <c r="V31" s="76" t="s">
        <v>426</v>
      </c>
      <c r="W31" s="75">
        <f>IF($V31="","",VLOOKUP($V31,$Y$3:$AA$200,2))</f>
        <v>7</v>
      </c>
      <c r="X31" s="75" t="str">
        <f>IF($V31="","",VLOOKUP($V31,$Y$3:$AA$200,3))</f>
        <v>Continuous</v>
      </c>
      <c r="Y31" s="35" t="s">
        <v>224</v>
      </c>
      <c r="Z31" s="58">
        <v>152</v>
      </c>
      <c r="AA31" s="58" t="s">
        <v>255</v>
      </c>
    </row>
    <row r="32" spans="2:27" ht="15" customHeight="1" x14ac:dyDescent="0.25">
      <c r="B32" s="35" t="s">
        <v>245</v>
      </c>
      <c r="C32" s="58">
        <v>80</v>
      </c>
      <c r="D32" s="58" t="s">
        <v>259</v>
      </c>
      <c r="E32" s="35" t="s">
        <v>185</v>
      </c>
      <c r="F32" s="58">
        <v>253</v>
      </c>
      <c r="G32" s="58" t="s">
        <v>259</v>
      </c>
      <c r="H32" s="35" t="s">
        <v>431</v>
      </c>
      <c r="I32" s="58">
        <v>164</v>
      </c>
      <c r="J32" s="58" t="s">
        <v>256</v>
      </c>
      <c r="K32" s="35" t="s">
        <v>234</v>
      </c>
      <c r="L32" s="58">
        <v>7</v>
      </c>
      <c r="M32" s="58" t="s">
        <v>281</v>
      </c>
      <c r="N32" s="35"/>
      <c r="O32" s="58"/>
      <c r="P32" s="58"/>
      <c r="U32" s="69" t="s">
        <v>323</v>
      </c>
      <c r="V32" s="72" t="s">
        <v>230</v>
      </c>
      <c r="W32" s="75">
        <f>IF($V32="","",VLOOKUP($V32,$Y$3:$AA$200,2))</f>
        <v>164</v>
      </c>
      <c r="X32" s="75" t="str">
        <f>IF($V32="","",VLOOKUP($V32,$Y$3:$AA$200,3))</f>
        <v>CACHE</v>
      </c>
      <c r="Y32" s="35" t="s">
        <v>175</v>
      </c>
      <c r="Z32" s="58">
        <v>170</v>
      </c>
      <c r="AA32" s="58" t="s">
        <v>259</v>
      </c>
    </row>
    <row r="33" spans="2:27" ht="15" customHeight="1" x14ac:dyDescent="0.25">
      <c r="B33" s="35" t="s">
        <v>211</v>
      </c>
      <c r="C33" s="58">
        <v>253</v>
      </c>
      <c r="D33" s="58" t="s">
        <v>259</v>
      </c>
      <c r="E33" s="35" t="s">
        <v>186</v>
      </c>
      <c r="F33" s="58">
        <v>7</v>
      </c>
      <c r="G33" s="58" t="s">
        <v>259</v>
      </c>
      <c r="H33" s="35" t="s">
        <v>245</v>
      </c>
      <c r="I33" s="58">
        <v>80</v>
      </c>
      <c r="J33" s="58" t="s">
        <v>259</v>
      </c>
      <c r="K33" s="35" t="s">
        <v>235</v>
      </c>
      <c r="L33" s="58">
        <v>30</v>
      </c>
      <c r="M33" s="58" t="s">
        <v>278</v>
      </c>
      <c r="N33" s="55"/>
      <c r="O33" s="58"/>
      <c r="P33" s="58"/>
      <c r="U33" s="69" t="s">
        <v>324</v>
      </c>
      <c r="V33" s="72" t="s">
        <v>231</v>
      </c>
      <c r="W33" s="75">
        <f>IF($V33="","",VLOOKUP($V33,$Y$3:$AA$200,2))</f>
        <v>164</v>
      </c>
      <c r="X33" s="75" t="str">
        <f>IF($V33="","",VLOOKUP($V33,$Y$3:$AA$200,3))</f>
        <v>CACHE</v>
      </c>
      <c r="Y33" s="35" t="s">
        <v>123</v>
      </c>
      <c r="Z33" s="58">
        <v>7</v>
      </c>
      <c r="AA33" s="58" t="s">
        <v>259</v>
      </c>
    </row>
    <row r="34" spans="2:27" ht="15" customHeight="1" x14ac:dyDescent="0.25">
      <c r="B34" s="35" t="s">
        <v>132</v>
      </c>
      <c r="C34" s="58">
        <v>10</v>
      </c>
      <c r="D34" s="58" t="s">
        <v>259</v>
      </c>
      <c r="E34" s="35" t="s">
        <v>130</v>
      </c>
      <c r="F34" s="58">
        <v>7</v>
      </c>
      <c r="G34" s="58" t="s">
        <v>259</v>
      </c>
      <c r="H34" s="35" t="s">
        <v>132</v>
      </c>
      <c r="I34" s="58">
        <v>10</v>
      </c>
      <c r="J34" s="58" t="s">
        <v>259</v>
      </c>
      <c r="K34" s="35" t="s">
        <v>236</v>
      </c>
      <c r="L34" s="58">
        <v>102</v>
      </c>
      <c r="M34" s="58" t="s">
        <v>283</v>
      </c>
      <c r="N34" s="55"/>
      <c r="O34" s="58"/>
      <c r="P34" s="58"/>
      <c r="U34" s="69" t="s">
        <v>120</v>
      </c>
      <c r="V34" s="69" t="s">
        <v>120</v>
      </c>
      <c r="W34" s="75">
        <f>IF($V34="","",VLOOKUP($V34,$Y$3:$AA$200,2))</f>
        <v>170</v>
      </c>
      <c r="X34" s="75" t="str">
        <f>IF($V34="","",VLOOKUP($V34,$Y$3:$AA$200,3))</f>
        <v>Continuous</v>
      </c>
      <c r="Y34" s="53" t="s">
        <v>167</v>
      </c>
      <c r="Z34" s="58">
        <v>7</v>
      </c>
      <c r="AA34" s="58" t="s">
        <v>259</v>
      </c>
    </row>
    <row r="35" spans="2:27" ht="15" customHeight="1" x14ac:dyDescent="0.25">
      <c r="B35" s="35" t="s">
        <v>191</v>
      </c>
      <c r="C35" s="58">
        <v>210</v>
      </c>
      <c r="D35" s="58" t="s">
        <v>259</v>
      </c>
      <c r="E35" s="35" t="s">
        <v>226</v>
      </c>
      <c r="F35" s="58">
        <v>7</v>
      </c>
      <c r="G35" s="58" t="s">
        <v>259</v>
      </c>
      <c r="H35" s="35" t="s">
        <v>191</v>
      </c>
      <c r="I35" s="58">
        <v>210</v>
      </c>
      <c r="J35" s="58" t="s">
        <v>259</v>
      </c>
      <c r="K35" s="35" t="s">
        <v>245</v>
      </c>
      <c r="L35" s="58">
        <v>80</v>
      </c>
      <c r="M35" s="58" t="s">
        <v>259</v>
      </c>
      <c r="N35" s="55"/>
      <c r="O35" s="58"/>
      <c r="P35" s="58"/>
      <c r="U35" s="69" t="s">
        <v>166</v>
      </c>
      <c r="V35" s="69" t="s">
        <v>166</v>
      </c>
      <c r="W35" s="75">
        <f>IF($V35="","",VLOOKUP($V35,$Y$3:$AA$200,2))</f>
        <v>252</v>
      </c>
      <c r="X35" s="75" t="str">
        <f>IF($V35="","",VLOOKUP($V35,$Y$3:$AA$200,3))</f>
        <v>Continuous</v>
      </c>
      <c r="Y35" s="53" t="s">
        <v>169</v>
      </c>
      <c r="Z35" s="58">
        <v>7</v>
      </c>
      <c r="AA35" s="58" t="s">
        <v>259</v>
      </c>
    </row>
    <row r="36" spans="2:27" ht="15" customHeight="1" x14ac:dyDescent="0.25">
      <c r="B36" s="35" t="s">
        <v>216</v>
      </c>
      <c r="C36" s="58">
        <v>7</v>
      </c>
      <c r="D36" s="58" t="s">
        <v>259</v>
      </c>
      <c r="E36" s="35" t="s">
        <v>189</v>
      </c>
      <c r="F36" s="58">
        <v>7</v>
      </c>
      <c r="G36" s="58" t="s">
        <v>259</v>
      </c>
      <c r="H36" s="35" t="s">
        <v>216</v>
      </c>
      <c r="I36" s="58">
        <v>7</v>
      </c>
      <c r="J36" s="58" t="s">
        <v>259</v>
      </c>
      <c r="K36" s="35" t="s">
        <v>211</v>
      </c>
      <c r="L36" s="58">
        <v>253</v>
      </c>
      <c r="M36" s="58" t="s">
        <v>259</v>
      </c>
      <c r="N36" s="55"/>
      <c r="O36" s="58"/>
      <c r="P36" s="58"/>
      <c r="U36" s="69" t="s">
        <v>121</v>
      </c>
      <c r="V36" s="69" t="s">
        <v>121</v>
      </c>
      <c r="W36" s="75">
        <f>IF($V36="","",VLOOKUP($V36,$Y$3:$AA$200,2))</f>
        <v>170</v>
      </c>
      <c r="X36" s="75" t="str">
        <f>IF($V36="","",VLOOKUP($V36,$Y$3:$AA$200,3))</f>
        <v>Continuous</v>
      </c>
      <c r="Y36" s="35" t="s">
        <v>210</v>
      </c>
      <c r="Z36" s="58">
        <v>210</v>
      </c>
      <c r="AA36" s="58" t="s">
        <v>259</v>
      </c>
    </row>
    <row r="37" spans="2:27" ht="15" customHeight="1" x14ac:dyDescent="0.25">
      <c r="B37" s="35" t="s">
        <v>430</v>
      </c>
      <c r="C37" s="58">
        <v>7</v>
      </c>
      <c r="D37" s="58" t="s">
        <v>259</v>
      </c>
      <c r="E37" s="35" t="s">
        <v>219</v>
      </c>
      <c r="F37" s="58">
        <v>252</v>
      </c>
      <c r="G37" s="58" t="s">
        <v>259</v>
      </c>
      <c r="H37" s="35" t="s">
        <v>430</v>
      </c>
      <c r="I37" s="58">
        <v>7</v>
      </c>
      <c r="J37" s="58" t="s">
        <v>259</v>
      </c>
      <c r="K37" s="35" t="s">
        <v>132</v>
      </c>
      <c r="L37" s="58">
        <v>10</v>
      </c>
      <c r="M37" s="58" t="s">
        <v>259</v>
      </c>
      <c r="N37" s="55"/>
      <c r="O37" s="58"/>
      <c r="P37" s="58"/>
      <c r="U37" s="69" t="s">
        <v>122</v>
      </c>
      <c r="V37" s="69" t="s">
        <v>122</v>
      </c>
      <c r="W37" s="75">
        <f>IF($V37="","",VLOOKUP($V37,$Y$3:$AA$200,2))</f>
        <v>170</v>
      </c>
      <c r="X37" s="75" t="str">
        <f>IF($V37="","",VLOOKUP($V37,$Y$3:$AA$200,3))</f>
        <v>Continuous</v>
      </c>
      <c r="Y37" s="35" t="s">
        <v>241</v>
      </c>
      <c r="Z37" s="58">
        <v>8</v>
      </c>
      <c r="AA37" s="58" t="s">
        <v>259</v>
      </c>
    </row>
    <row r="38" spans="2:27" ht="15" customHeight="1" x14ac:dyDescent="0.25">
      <c r="B38" s="35" t="s">
        <v>213</v>
      </c>
      <c r="C38" s="58">
        <v>7</v>
      </c>
      <c r="D38" s="58" t="s">
        <v>259</v>
      </c>
      <c r="E38" s="35" t="s">
        <v>220</v>
      </c>
      <c r="F38" s="58">
        <v>30</v>
      </c>
      <c r="G38" s="58" t="s">
        <v>280</v>
      </c>
      <c r="H38" s="35" t="s">
        <v>213</v>
      </c>
      <c r="I38" s="58">
        <v>7</v>
      </c>
      <c r="J38" s="58" t="s">
        <v>259</v>
      </c>
      <c r="K38" s="35" t="s">
        <v>449</v>
      </c>
      <c r="L38" s="58">
        <v>150</v>
      </c>
      <c r="M38" s="58" t="s">
        <v>287</v>
      </c>
      <c r="N38" s="55"/>
      <c r="O38" s="58"/>
      <c r="P38" s="58"/>
      <c r="U38" s="69" t="s">
        <v>328</v>
      </c>
      <c r="V38" s="72" t="s">
        <v>243</v>
      </c>
      <c r="W38" s="75">
        <f>IF($V38="","",VLOOKUP($V38,$Y$3:$AA$200,2))</f>
        <v>254</v>
      </c>
      <c r="X38" s="75" t="str">
        <f>IF($V38="","",VLOOKUP($V38,$Y$3:$AA$200,3))</f>
        <v>Continuous</v>
      </c>
      <c r="Y38" s="35" t="s">
        <v>208</v>
      </c>
      <c r="Z38" s="58">
        <v>10</v>
      </c>
      <c r="AA38" s="58" t="s">
        <v>259</v>
      </c>
    </row>
    <row r="39" spans="2:27" ht="15" customHeight="1" x14ac:dyDescent="0.25">
      <c r="B39" s="35" t="s">
        <v>428</v>
      </c>
      <c r="C39" s="58">
        <v>7</v>
      </c>
      <c r="D39" s="58" t="s">
        <v>259</v>
      </c>
      <c r="E39" s="35" t="s">
        <v>222</v>
      </c>
      <c r="F39" s="58">
        <v>23</v>
      </c>
      <c r="G39" s="58" t="s">
        <v>259</v>
      </c>
      <c r="H39" s="35" t="s">
        <v>428</v>
      </c>
      <c r="I39" s="58">
        <v>7</v>
      </c>
      <c r="J39" s="58" t="s">
        <v>259</v>
      </c>
      <c r="K39" s="35" t="s">
        <v>191</v>
      </c>
      <c r="L39" s="58">
        <v>210</v>
      </c>
      <c r="M39" s="58" t="s">
        <v>259</v>
      </c>
      <c r="N39" s="55"/>
      <c r="O39" s="58"/>
      <c r="P39" s="58"/>
      <c r="U39" s="69" t="s">
        <v>327</v>
      </c>
      <c r="V39" s="72" t="s">
        <v>244</v>
      </c>
      <c r="W39" s="75">
        <f>IF($V39="","",VLOOKUP($V39,$Y$3:$AA$200,2))</f>
        <v>253</v>
      </c>
      <c r="X39" s="75" t="str">
        <f>IF($V39="","",VLOOKUP($V39,$Y$3:$AA$200,3))</f>
        <v>Continuous</v>
      </c>
      <c r="Y39" s="35" t="s">
        <v>170</v>
      </c>
      <c r="Z39" s="58">
        <v>170</v>
      </c>
      <c r="AA39" s="58" t="s">
        <v>259</v>
      </c>
    </row>
    <row r="40" spans="2:27" ht="15" customHeight="1" x14ac:dyDescent="0.25">
      <c r="B40" s="79" t="s">
        <v>427</v>
      </c>
      <c r="C40" s="58">
        <v>7</v>
      </c>
      <c r="D40" s="58" t="s">
        <v>259</v>
      </c>
      <c r="E40" s="35" t="s">
        <v>243</v>
      </c>
      <c r="F40" s="58">
        <v>254</v>
      </c>
      <c r="G40" s="58" t="s">
        <v>259</v>
      </c>
      <c r="H40" s="79" t="s">
        <v>427</v>
      </c>
      <c r="I40" s="58">
        <v>7</v>
      </c>
      <c r="J40" s="58" t="s">
        <v>259</v>
      </c>
      <c r="K40" s="35" t="s">
        <v>216</v>
      </c>
      <c r="L40" s="58">
        <v>7</v>
      </c>
      <c r="M40" s="58" t="s">
        <v>259</v>
      </c>
      <c r="N40" s="55"/>
      <c r="O40" s="58"/>
      <c r="P40" s="58"/>
      <c r="U40" s="69" t="s">
        <v>329</v>
      </c>
      <c r="V40" s="72" t="s">
        <v>220</v>
      </c>
      <c r="W40" s="75">
        <f>IF($V40="","",VLOOKUP($V40,$Y$3:$AA$200,2))</f>
        <v>30</v>
      </c>
      <c r="X40" s="75" t="str">
        <f>IF($V40="","",VLOOKUP($V40,$Y$3:$AA$200,3))</f>
        <v>LIMITE1</v>
      </c>
      <c r="Y40" s="35" t="s">
        <v>124</v>
      </c>
      <c r="Z40" s="58">
        <v>253</v>
      </c>
      <c r="AA40" s="58" t="s">
        <v>259</v>
      </c>
    </row>
    <row r="41" spans="2:27" ht="15" customHeight="1" x14ac:dyDescent="0.25">
      <c r="B41" s="35" t="s">
        <v>429</v>
      </c>
      <c r="C41" s="58">
        <v>7</v>
      </c>
      <c r="D41" s="58" t="s">
        <v>259</v>
      </c>
      <c r="E41" s="35" t="s">
        <v>244</v>
      </c>
      <c r="F41" s="58">
        <v>253</v>
      </c>
      <c r="G41" s="58" t="s">
        <v>259</v>
      </c>
      <c r="H41" s="35" t="s">
        <v>429</v>
      </c>
      <c r="I41" s="58">
        <v>7</v>
      </c>
      <c r="J41" s="58" t="s">
        <v>259</v>
      </c>
      <c r="K41" s="35" t="s">
        <v>430</v>
      </c>
      <c r="L41" s="58">
        <v>7</v>
      </c>
      <c r="M41" s="58" t="s">
        <v>259</v>
      </c>
      <c r="N41" s="55"/>
      <c r="O41" s="58"/>
      <c r="P41" s="58"/>
      <c r="U41" s="70" t="s">
        <v>165</v>
      </c>
      <c r="V41" s="70" t="s">
        <v>165</v>
      </c>
      <c r="W41" s="75">
        <f>IF($V41="","",VLOOKUP($V41,$Y$3:$AA$200,2))</f>
        <v>202</v>
      </c>
      <c r="X41" s="75" t="str">
        <f>IF($V41="","",VLOOKUP($V41,$Y$3:$AA$200,3))</f>
        <v>Continuous</v>
      </c>
      <c r="Y41" s="35" t="s">
        <v>125</v>
      </c>
      <c r="Z41" s="58">
        <v>30</v>
      </c>
      <c r="AA41" s="58" t="s">
        <v>259</v>
      </c>
    </row>
    <row r="42" spans="2:27" ht="15" customHeight="1" x14ac:dyDescent="0.25">
      <c r="B42" s="35" t="s">
        <v>133</v>
      </c>
      <c r="C42" s="58">
        <v>30</v>
      </c>
      <c r="D42" s="58" t="s">
        <v>256</v>
      </c>
      <c r="E42" s="35" t="s">
        <v>221</v>
      </c>
      <c r="F42" s="58">
        <v>7</v>
      </c>
      <c r="G42" s="58" t="s">
        <v>259</v>
      </c>
      <c r="H42" s="35" t="s">
        <v>133</v>
      </c>
      <c r="I42" s="58">
        <v>30</v>
      </c>
      <c r="J42" s="58" t="s">
        <v>256</v>
      </c>
      <c r="K42" s="35" t="s">
        <v>213</v>
      </c>
      <c r="L42" s="58">
        <v>7</v>
      </c>
      <c r="M42" s="58" t="s">
        <v>259</v>
      </c>
      <c r="N42" s="55"/>
      <c r="O42" s="58"/>
      <c r="P42" s="58"/>
      <c r="U42" s="69" t="s">
        <v>175</v>
      </c>
      <c r="V42" s="69" t="s">
        <v>175</v>
      </c>
      <c r="W42" s="75">
        <f>IF($V42="","",VLOOKUP($V42,$Y$3:$AA$200,2))</f>
        <v>170</v>
      </c>
      <c r="X42" s="75" t="str">
        <f>IF($V42="","",VLOOKUP($V42,$Y$3:$AA$200,3))</f>
        <v>Continuous</v>
      </c>
      <c r="Y42" s="59" t="s">
        <v>174</v>
      </c>
      <c r="Z42" s="58">
        <v>10</v>
      </c>
      <c r="AA42" s="58" t="s">
        <v>259</v>
      </c>
    </row>
    <row r="43" spans="2:27" ht="15" customHeight="1" x14ac:dyDescent="0.25">
      <c r="B43" s="35" t="s">
        <v>134</v>
      </c>
      <c r="C43" s="58">
        <v>170</v>
      </c>
      <c r="D43" s="58" t="s">
        <v>260</v>
      </c>
      <c r="E43" s="35" t="s">
        <v>431</v>
      </c>
      <c r="F43" s="58">
        <v>10</v>
      </c>
      <c r="G43" s="58" t="s">
        <v>279</v>
      </c>
      <c r="H43" s="35" t="s">
        <v>135</v>
      </c>
      <c r="I43" s="58">
        <v>7</v>
      </c>
      <c r="J43" s="58" t="s">
        <v>259</v>
      </c>
      <c r="K43" s="35" t="s">
        <v>428</v>
      </c>
      <c r="L43" s="58">
        <v>7</v>
      </c>
      <c r="M43" s="58" t="s">
        <v>259</v>
      </c>
      <c r="N43" s="55"/>
      <c r="O43" s="58"/>
      <c r="P43" s="58"/>
      <c r="U43" s="69" t="s">
        <v>330</v>
      </c>
      <c r="V43" s="80" t="s">
        <v>175</v>
      </c>
      <c r="W43" s="75">
        <f>IF($V43="","",VLOOKUP($V43,$Y$3:$AA$200,2))</f>
        <v>170</v>
      </c>
      <c r="X43" s="75" t="str">
        <f>IF($V43="","",VLOOKUP($V43,$Y$3:$AA$200,3))</f>
        <v>Continuous</v>
      </c>
      <c r="Y43" s="35" t="s">
        <v>212</v>
      </c>
      <c r="Z43" s="58">
        <v>30</v>
      </c>
      <c r="AA43" s="58" t="s">
        <v>259</v>
      </c>
    </row>
    <row r="44" spans="2:27" ht="15" customHeight="1" x14ac:dyDescent="0.25">
      <c r="B44" s="35" t="s">
        <v>135</v>
      </c>
      <c r="C44" s="58">
        <v>7</v>
      </c>
      <c r="D44" s="58" t="s">
        <v>259</v>
      </c>
      <c r="E44" s="35" t="s">
        <v>232</v>
      </c>
      <c r="F44" s="58">
        <v>34</v>
      </c>
      <c r="G44" s="58" t="s">
        <v>257</v>
      </c>
      <c r="H44" s="35" t="s">
        <v>192</v>
      </c>
      <c r="I44" s="58">
        <v>14</v>
      </c>
      <c r="J44" s="58" t="s">
        <v>259</v>
      </c>
      <c r="K44" s="79" t="s">
        <v>427</v>
      </c>
      <c r="L44" s="58">
        <v>7</v>
      </c>
      <c r="M44" s="58" t="s">
        <v>259</v>
      </c>
      <c r="N44" s="55"/>
      <c r="O44" s="58"/>
      <c r="P44" s="58"/>
      <c r="U44" s="69" t="s">
        <v>123</v>
      </c>
      <c r="V44" s="69" t="s">
        <v>123</v>
      </c>
      <c r="W44" s="75">
        <f>IF($V44="","",VLOOKUP($V44,$Y$3:$AA$200,2))</f>
        <v>7</v>
      </c>
      <c r="X44" s="75" t="str">
        <f>IF($V44="","",VLOOKUP($V44,$Y$3:$AA$200,3))</f>
        <v>Continuous</v>
      </c>
      <c r="Y44" s="35" t="s">
        <v>126</v>
      </c>
      <c r="Z44" s="58">
        <v>10</v>
      </c>
      <c r="AA44" s="58" t="s">
        <v>259</v>
      </c>
    </row>
    <row r="45" spans="2:27" ht="15" customHeight="1" x14ac:dyDescent="0.25">
      <c r="B45" s="35" t="s">
        <v>136</v>
      </c>
      <c r="C45" s="58">
        <v>34</v>
      </c>
      <c r="D45" s="58" t="s">
        <v>259</v>
      </c>
      <c r="E45" s="35" t="s">
        <v>233</v>
      </c>
      <c r="F45" s="58">
        <v>32</v>
      </c>
      <c r="G45" s="58" t="s">
        <v>257</v>
      </c>
      <c r="H45" s="35" t="s">
        <v>136</v>
      </c>
      <c r="I45" s="58">
        <v>34</v>
      </c>
      <c r="J45" s="58" t="s">
        <v>259</v>
      </c>
      <c r="K45" s="35" t="s">
        <v>429</v>
      </c>
      <c r="L45" s="58">
        <v>7</v>
      </c>
      <c r="M45" s="58" t="s">
        <v>259</v>
      </c>
      <c r="N45" s="55"/>
      <c r="O45" s="58"/>
      <c r="P45" s="58"/>
      <c r="U45" s="70" t="s">
        <v>167</v>
      </c>
      <c r="V45" s="70" t="s">
        <v>167</v>
      </c>
      <c r="W45" s="75">
        <f>IF($V45="","",VLOOKUP($V45,$Y$3:$AA$200,2))</f>
        <v>7</v>
      </c>
      <c r="X45" s="75" t="str">
        <f>IF($V45="","",VLOOKUP($V45,$Y$3:$AA$200,3))</f>
        <v>Continuous</v>
      </c>
      <c r="Y45" s="35" t="s">
        <v>228</v>
      </c>
      <c r="Z45" s="58">
        <v>7</v>
      </c>
      <c r="AA45" s="58" t="s">
        <v>259</v>
      </c>
    </row>
    <row r="46" spans="2:27" ht="15" customHeight="1" x14ac:dyDescent="0.25">
      <c r="B46" s="35" t="s">
        <v>137</v>
      </c>
      <c r="C46" s="58">
        <v>7</v>
      </c>
      <c r="D46" s="58" t="s">
        <v>256</v>
      </c>
      <c r="E46" s="35" t="s">
        <v>237</v>
      </c>
      <c r="F46" s="58">
        <v>173</v>
      </c>
      <c r="G46" s="58" t="s">
        <v>266</v>
      </c>
      <c r="H46" s="35" t="s">
        <v>137</v>
      </c>
      <c r="I46" s="58">
        <v>7</v>
      </c>
      <c r="J46" s="58" t="s">
        <v>256</v>
      </c>
      <c r="K46" s="34" t="s">
        <v>133</v>
      </c>
      <c r="L46" s="58">
        <v>30</v>
      </c>
      <c r="M46" s="58" t="s">
        <v>256</v>
      </c>
      <c r="N46" s="55"/>
      <c r="O46" s="58"/>
      <c r="P46" s="58"/>
      <c r="U46" s="70" t="s">
        <v>169</v>
      </c>
      <c r="V46" s="70" t="s">
        <v>169</v>
      </c>
      <c r="W46" s="75">
        <f>IF($V46="","",VLOOKUP($V46,$Y$3:$AA$200,2))</f>
        <v>7</v>
      </c>
      <c r="X46" s="75" t="str">
        <f>IF($V46="","",VLOOKUP($V46,$Y$3:$AA$200,3))</f>
        <v>Continuous</v>
      </c>
      <c r="Y46" s="35" t="s">
        <v>180</v>
      </c>
      <c r="Z46" s="58">
        <v>7</v>
      </c>
      <c r="AA46" s="58" t="s">
        <v>259</v>
      </c>
    </row>
    <row r="47" spans="2:27" ht="15" customHeight="1" x14ac:dyDescent="0.25">
      <c r="B47" s="35" t="s">
        <v>138</v>
      </c>
      <c r="C47" s="58">
        <v>102</v>
      </c>
      <c r="D47" s="58" t="s">
        <v>257</v>
      </c>
      <c r="E47" s="35" t="s">
        <v>286</v>
      </c>
      <c r="F47" s="58">
        <v>170</v>
      </c>
      <c r="G47" s="58" t="s">
        <v>422</v>
      </c>
      <c r="H47" s="35" t="s">
        <v>138</v>
      </c>
      <c r="I47" s="58">
        <v>102</v>
      </c>
      <c r="J47" s="58" t="s">
        <v>257</v>
      </c>
      <c r="K47" s="34" t="s">
        <v>134</v>
      </c>
      <c r="L47" s="58">
        <v>170</v>
      </c>
      <c r="M47" s="58" t="s">
        <v>260</v>
      </c>
      <c r="N47" s="55"/>
      <c r="O47" s="58"/>
      <c r="P47" s="58"/>
      <c r="U47" s="69" t="s">
        <v>326</v>
      </c>
      <c r="V47" s="72" t="s">
        <v>208</v>
      </c>
      <c r="W47" s="75">
        <f>IF($V47="","",VLOOKUP($V47,$Y$3:$AA$200,2))</f>
        <v>10</v>
      </c>
      <c r="X47" s="75" t="str">
        <f>IF($V47="","",VLOOKUP($V47,$Y$3:$AA$200,3))</f>
        <v>Continuous</v>
      </c>
      <c r="Y47" s="35" t="s">
        <v>127</v>
      </c>
      <c r="Z47" s="58">
        <v>170</v>
      </c>
      <c r="AA47" s="58" t="s">
        <v>259</v>
      </c>
    </row>
    <row r="48" spans="2:27" ht="15" customHeight="1" x14ac:dyDescent="0.25">
      <c r="B48" s="35" t="s">
        <v>139</v>
      </c>
      <c r="C48" s="58">
        <v>210</v>
      </c>
      <c r="D48" s="58" t="s">
        <v>259</v>
      </c>
      <c r="E48" s="35" t="s">
        <v>234</v>
      </c>
      <c r="F48" s="58">
        <v>7</v>
      </c>
      <c r="G48" s="58" t="s">
        <v>281</v>
      </c>
      <c r="H48" s="35" t="s">
        <v>139</v>
      </c>
      <c r="I48" s="58">
        <v>210</v>
      </c>
      <c r="J48" s="58" t="s">
        <v>259</v>
      </c>
      <c r="K48" s="34" t="s">
        <v>135</v>
      </c>
      <c r="L48" s="58">
        <v>7</v>
      </c>
      <c r="M48" s="58" t="s">
        <v>259</v>
      </c>
      <c r="N48" s="55"/>
      <c r="O48" s="58"/>
      <c r="P48" s="58"/>
      <c r="U48" s="69" t="s">
        <v>168</v>
      </c>
      <c r="V48" s="69" t="s">
        <v>211</v>
      </c>
      <c r="W48" s="75">
        <f>IF($V48="","",VLOOKUP($V48,$Y$3:$AA$200,2))</f>
        <v>253</v>
      </c>
      <c r="X48" s="75" t="str">
        <f>IF($V48="","",VLOOKUP($V48,$Y$3:$AA$200,3))</f>
        <v>Continuous</v>
      </c>
      <c r="Y48" s="35" t="s">
        <v>227</v>
      </c>
      <c r="Z48" s="58">
        <v>7</v>
      </c>
      <c r="AA48" s="58" t="s">
        <v>259</v>
      </c>
    </row>
    <row r="49" spans="2:27" ht="15" customHeight="1" x14ac:dyDescent="0.25">
      <c r="B49" s="35" t="s">
        <v>140</v>
      </c>
      <c r="C49" s="58">
        <v>50</v>
      </c>
      <c r="D49" s="58" t="s">
        <v>259</v>
      </c>
      <c r="E49" s="35" t="s">
        <v>235</v>
      </c>
      <c r="F49" s="58">
        <v>30</v>
      </c>
      <c r="G49" s="58" t="s">
        <v>278</v>
      </c>
      <c r="H49" s="35" t="s">
        <v>140</v>
      </c>
      <c r="I49" s="58">
        <v>50</v>
      </c>
      <c r="J49" s="58" t="s">
        <v>259</v>
      </c>
      <c r="K49" s="34" t="s">
        <v>192</v>
      </c>
      <c r="L49" s="58">
        <v>14</v>
      </c>
      <c r="M49" s="58" t="s">
        <v>259</v>
      </c>
      <c r="N49" s="55"/>
      <c r="O49" s="58"/>
      <c r="P49" s="58"/>
      <c r="U49" s="69" t="s">
        <v>170</v>
      </c>
      <c r="V49" s="69" t="s">
        <v>170</v>
      </c>
      <c r="W49" s="75">
        <f>IF($V49="","",VLOOKUP($V49,$Y$3:$AA$200,2))</f>
        <v>170</v>
      </c>
      <c r="X49" s="75" t="str">
        <f>IF($V49="","",VLOOKUP($V49,$Y$3:$AA$200,3))</f>
        <v>Continuous</v>
      </c>
      <c r="Y49" s="35" t="s">
        <v>181</v>
      </c>
      <c r="Z49" s="58">
        <v>10</v>
      </c>
      <c r="AA49" s="58" t="s">
        <v>259</v>
      </c>
    </row>
    <row r="50" spans="2:27" ht="15" customHeight="1" x14ac:dyDescent="0.25">
      <c r="B50" s="35" t="s">
        <v>141</v>
      </c>
      <c r="C50" s="58">
        <v>92</v>
      </c>
      <c r="D50" s="58" t="s">
        <v>259</v>
      </c>
      <c r="E50" s="35" t="s">
        <v>236</v>
      </c>
      <c r="F50" s="58">
        <v>102</v>
      </c>
      <c r="G50" s="58" t="s">
        <v>283</v>
      </c>
      <c r="H50" s="35" t="s">
        <v>141</v>
      </c>
      <c r="I50" s="58">
        <v>92</v>
      </c>
      <c r="J50" s="58" t="s">
        <v>259</v>
      </c>
      <c r="K50" s="34" t="s">
        <v>136</v>
      </c>
      <c r="L50" s="58">
        <v>34</v>
      </c>
      <c r="M50" s="58" t="s">
        <v>259</v>
      </c>
      <c r="N50" s="55"/>
      <c r="O50" s="58"/>
      <c r="P50" s="58"/>
      <c r="U50" s="69" t="s">
        <v>124</v>
      </c>
      <c r="V50" s="69" t="s">
        <v>124</v>
      </c>
      <c r="W50" s="75">
        <f>IF($V50="","",VLOOKUP($V50,$Y$3:$AA$200,2))</f>
        <v>253</v>
      </c>
      <c r="X50" s="75" t="str">
        <f>IF($V50="","",VLOOKUP($V50,$Y$3:$AA$200,3))</f>
        <v>Continuous</v>
      </c>
      <c r="Y50" s="35" t="s">
        <v>179</v>
      </c>
      <c r="Z50" s="58">
        <v>7</v>
      </c>
      <c r="AA50" s="58" t="s">
        <v>259</v>
      </c>
    </row>
    <row r="51" spans="2:27" ht="15" customHeight="1" x14ac:dyDescent="0.25">
      <c r="B51" s="35" t="s">
        <v>142</v>
      </c>
      <c r="C51" s="58">
        <v>10</v>
      </c>
      <c r="D51" s="58" t="s">
        <v>257</v>
      </c>
      <c r="E51" s="35" t="s">
        <v>245</v>
      </c>
      <c r="F51" s="58">
        <v>80</v>
      </c>
      <c r="G51" s="58" t="s">
        <v>259</v>
      </c>
      <c r="H51" s="35" t="s">
        <v>142</v>
      </c>
      <c r="I51" s="58">
        <v>10</v>
      </c>
      <c r="J51" s="58" t="s">
        <v>257</v>
      </c>
      <c r="K51" s="34" t="s">
        <v>137</v>
      </c>
      <c r="L51" s="58">
        <v>7</v>
      </c>
      <c r="M51" s="58" t="s">
        <v>256</v>
      </c>
      <c r="N51" s="55"/>
      <c r="O51" s="58"/>
      <c r="P51" s="58"/>
      <c r="U51" s="69" t="s">
        <v>125</v>
      </c>
      <c r="V51" s="69" t="s">
        <v>125</v>
      </c>
      <c r="W51" s="75">
        <f>IF($V51="","",VLOOKUP($V51,$Y$3:$AA$200,2))</f>
        <v>30</v>
      </c>
      <c r="X51" s="75" t="str">
        <f>IF($V51="","",VLOOKUP($V51,$Y$3:$AA$200,3))</f>
        <v>Continuous</v>
      </c>
      <c r="Y51" s="35" t="s">
        <v>128</v>
      </c>
      <c r="Z51" s="58">
        <v>10</v>
      </c>
      <c r="AA51" s="58" t="s">
        <v>424</v>
      </c>
    </row>
    <row r="52" spans="2:27" ht="15" customHeight="1" x14ac:dyDescent="0.25">
      <c r="B52" s="35" t="s">
        <v>143</v>
      </c>
      <c r="C52" s="58">
        <v>7</v>
      </c>
      <c r="D52" s="58" t="s">
        <v>259</v>
      </c>
      <c r="E52" s="35" t="s">
        <v>239</v>
      </c>
      <c r="F52" s="58">
        <v>7</v>
      </c>
      <c r="G52" s="58" t="s">
        <v>259</v>
      </c>
      <c r="H52" s="35" t="s">
        <v>143</v>
      </c>
      <c r="I52" s="58">
        <v>7</v>
      </c>
      <c r="J52" s="58" t="s">
        <v>259</v>
      </c>
      <c r="K52" s="34" t="s">
        <v>138</v>
      </c>
      <c r="L52" s="58">
        <v>102</v>
      </c>
      <c r="M52" s="58" t="s">
        <v>257</v>
      </c>
      <c r="N52" s="55"/>
      <c r="O52" s="58"/>
      <c r="P52" s="58"/>
      <c r="U52" s="77" t="s">
        <v>174</v>
      </c>
      <c r="V52" s="77" t="s">
        <v>174</v>
      </c>
      <c r="W52" s="75">
        <f>IF($V52="","",VLOOKUP($V52,$Y$3:$AA$200,2))</f>
        <v>10</v>
      </c>
      <c r="X52" s="75" t="str">
        <f>IF($V52="","",VLOOKUP($V52,$Y$3:$AA$200,3))</f>
        <v>Continuous</v>
      </c>
      <c r="Y52" s="35" t="s">
        <v>184</v>
      </c>
      <c r="Z52" s="58">
        <v>234</v>
      </c>
      <c r="AA52" s="58" t="s">
        <v>259</v>
      </c>
    </row>
    <row r="53" spans="2:27" ht="15" customHeight="1" x14ac:dyDescent="0.25">
      <c r="B53" s="59" t="s">
        <v>426</v>
      </c>
      <c r="C53" s="58">
        <v>7</v>
      </c>
      <c r="D53" s="58" t="s">
        <v>259</v>
      </c>
      <c r="E53" s="35" t="s">
        <v>238</v>
      </c>
      <c r="F53" s="58">
        <v>141</v>
      </c>
      <c r="G53" s="58" t="s">
        <v>262</v>
      </c>
      <c r="H53" s="59" t="s">
        <v>426</v>
      </c>
      <c r="I53" s="58">
        <v>7</v>
      </c>
      <c r="J53" s="58" t="s">
        <v>259</v>
      </c>
      <c r="K53" s="34" t="s">
        <v>139</v>
      </c>
      <c r="L53" s="58">
        <v>210</v>
      </c>
      <c r="M53" s="58" t="s">
        <v>259</v>
      </c>
      <c r="N53" s="55"/>
      <c r="O53" s="58"/>
      <c r="P53" s="58"/>
      <c r="U53" s="69" t="s">
        <v>126</v>
      </c>
      <c r="V53" s="69" t="s">
        <v>126</v>
      </c>
      <c r="W53" s="75">
        <f>IF($V53="","",VLOOKUP($V53,$Y$3:$AA$200,2))</f>
        <v>10</v>
      </c>
      <c r="X53" s="75" t="str">
        <f>IF($V53="","",VLOOKUP($V53,$Y$3:$AA$200,3))</f>
        <v>Continuous</v>
      </c>
      <c r="Y53" s="35" t="s">
        <v>185</v>
      </c>
      <c r="Z53" s="58">
        <v>253</v>
      </c>
      <c r="AA53" s="58" t="s">
        <v>259</v>
      </c>
    </row>
    <row r="54" spans="2:27" ht="15" customHeight="1" x14ac:dyDescent="0.25">
      <c r="B54" s="35" t="s">
        <v>144</v>
      </c>
      <c r="C54" s="58">
        <v>7</v>
      </c>
      <c r="D54" s="58" t="s">
        <v>259</v>
      </c>
      <c r="E54" s="35" t="s">
        <v>132</v>
      </c>
      <c r="F54" s="58">
        <v>10</v>
      </c>
      <c r="G54" s="58" t="s">
        <v>259</v>
      </c>
      <c r="H54" s="35" t="s">
        <v>144</v>
      </c>
      <c r="I54" s="58">
        <v>7</v>
      </c>
      <c r="J54" s="58" t="s">
        <v>259</v>
      </c>
      <c r="K54" s="34" t="s">
        <v>140</v>
      </c>
      <c r="L54" s="58">
        <v>50</v>
      </c>
      <c r="M54" s="58" t="s">
        <v>259</v>
      </c>
      <c r="N54" s="55"/>
      <c r="O54" s="58"/>
      <c r="P54" s="58"/>
      <c r="U54" s="69" t="s">
        <v>180</v>
      </c>
      <c r="V54" s="69" t="s">
        <v>180</v>
      </c>
      <c r="W54" s="75">
        <f>IF($V54="","",VLOOKUP($V54,$Y$3:$AA$200,2))</f>
        <v>7</v>
      </c>
      <c r="X54" s="75" t="str">
        <f>IF($V54="","",VLOOKUP($V54,$Y$3:$AA$200,3))</f>
        <v>Continuous</v>
      </c>
      <c r="Y54" s="35" t="s">
        <v>186</v>
      </c>
      <c r="Z54" s="58">
        <v>7</v>
      </c>
      <c r="AA54" s="58" t="s">
        <v>259</v>
      </c>
    </row>
    <row r="55" spans="2:27" ht="15" customHeight="1" x14ac:dyDescent="0.25">
      <c r="B55" s="59" t="s">
        <v>145</v>
      </c>
      <c r="C55" s="58">
        <v>210</v>
      </c>
      <c r="D55" s="58" t="s">
        <v>259</v>
      </c>
      <c r="E55" s="35" t="s">
        <v>191</v>
      </c>
      <c r="F55" s="58">
        <v>210</v>
      </c>
      <c r="G55" s="58" t="s">
        <v>259</v>
      </c>
      <c r="H55" s="59" t="s">
        <v>145</v>
      </c>
      <c r="I55" s="58">
        <v>210</v>
      </c>
      <c r="J55" s="58" t="s">
        <v>259</v>
      </c>
      <c r="K55" s="34" t="s">
        <v>141</v>
      </c>
      <c r="L55" s="58">
        <v>92</v>
      </c>
      <c r="M55" s="58" t="s">
        <v>259</v>
      </c>
      <c r="N55" s="55"/>
      <c r="O55" s="58"/>
      <c r="P55" s="58"/>
      <c r="U55" s="69" t="s">
        <v>127</v>
      </c>
      <c r="V55" s="69" t="s">
        <v>127</v>
      </c>
      <c r="W55" s="75">
        <f>IF($V55="","",VLOOKUP($V55,$Y$3:$AA$200,2))</f>
        <v>170</v>
      </c>
      <c r="X55" s="75" t="str">
        <f>IF($V55="","",VLOOKUP($V55,$Y$3:$AA$200,3))</f>
        <v>Continuous</v>
      </c>
      <c r="Y55" s="35" t="s">
        <v>187</v>
      </c>
      <c r="Z55" s="58">
        <v>130</v>
      </c>
      <c r="AA55" s="58" t="s">
        <v>259</v>
      </c>
    </row>
    <row r="56" spans="2:27" ht="15" customHeight="1" x14ac:dyDescent="0.25">
      <c r="B56" s="35" t="s">
        <v>146</v>
      </c>
      <c r="C56" s="58">
        <v>7</v>
      </c>
      <c r="D56" s="58" t="s">
        <v>259</v>
      </c>
      <c r="E56" s="35" t="s">
        <v>216</v>
      </c>
      <c r="F56" s="58">
        <v>7</v>
      </c>
      <c r="G56" s="58" t="s">
        <v>259</v>
      </c>
      <c r="H56" s="35" t="s">
        <v>146</v>
      </c>
      <c r="I56" s="58">
        <v>7</v>
      </c>
      <c r="J56" s="58" t="s">
        <v>259</v>
      </c>
      <c r="K56" s="34" t="s">
        <v>142</v>
      </c>
      <c r="L56" s="58">
        <v>10</v>
      </c>
      <c r="M56" s="58" t="s">
        <v>257</v>
      </c>
      <c r="N56" s="55"/>
      <c r="O56" s="58"/>
      <c r="P56" s="58"/>
      <c r="U56" s="69" t="s">
        <v>334</v>
      </c>
      <c r="V56" s="80" t="s">
        <v>127</v>
      </c>
      <c r="W56" s="75">
        <f>IF($V56="","",VLOOKUP($V56,$Y$3:$AA$200,2))</f>
        <v>170</v>
      </c>
      <c r="X56" s="75" t="str">
        <f>IF($V56="","",VLOOKUP($V56,$Y$3:$AA$200,3))</f>
        <v>Continuous</v>
      </c>
      <c r="Y56" s="35" t="s">
        <v>129</v>
      </c>
      <c r="Z56" s="58">
        <v>50</v>
      </c>
      <c r="AA56" s="58" t="s">
        <v>259</v>
      </c>
    </row>
    <row r="57" spans="2:27" ht="15" customHeight="1" x14ac:dyDescent="0.25">
      <c r="B57" s="59" t="s">
        <v>193</v>
      </c>
      <c r="C57" s="58">
        <v>130</v>
      </c>
      <c r="D57" s="58" t="s">
        <v>259</v>
      </c>
      <c r="E57" s="35" t="s">
        <v>430</v>
      </c>
      <c r="F57" s="58">
        <v>7</v>
      </c>
      <c r="G57" s="58" t="s">
        <v>259</v>
      </c>
      <c r="H57" s="59" t="s">
        <v>193</v>
      </c>
      <c r="I57" s="58">
        <v>130</v>
      </c>
      <c r="J57" s="58" t="s">
        <v>259</v>
      </c>
      <c r="K57" s="34" t="s">
        <v>143</v>
      </c>
      <c r="L57" s="58">
        <v>7</v>
      </c>
      <c r="M57" s="58" t="s">
        <v>259</v>
      </c>
      <c r="N57" s="55"/>
      <c r="O57" s="58"/>
      <c r="P57" s="58"/>
      <c r="U57" s="69" t="s">
        <v>338</v>
      </c>
      <c r="V57" s="80" t="s">
        <v>127</v>
      </c>
      <c r="W57" s="75">
        <f>IF($V57="","",VLOOKUP($V57,$Y$3:$AA$200,2))</f>
        <v>170</v>
      </c>
      <c r="X57" s="75" t="str">
        <f>IF($V57="","",VLOOKUP($V57,$Y$3:$AA$200,3))</f>
        <v>Continuous</v>
      </c>
      <c r="Y57" s="35" t="s">
        <v>130</v>
      </c>
      <c r="Z57" s="58">
        <v>7</v>
      </c>
      <c r="AA57" s="58" t="s">
        <v>259</v>
      </c>
    </row>
    <row r="58" spans="2:27" ht="15" customHeight="1" x14ac:dyDescent="0.25">
      <c r="B58" s="35" t="s">
        <v>147</v>
      </c>
      <c r="C58" s="58">
        <v>7</v>
      </c>
      <c r="D58" s="58" t="s">
        <v>259</v>
      </c>
      <c r="E58" s="35" t="s">
        <v>213</v>
      </c>
      <c r="F58" s="58">
        <v>7</v>
      </c>
      <c r="G58" s="58" t="s">
        <v>259</v>
      </c>
      <c r="H58" s="35" t="s">
        <v>147</v>
      </c>
      <c r="I58" s="58">
        <v>7</v>
      </c>
      <c r="J58" s="58" t="s">
        <v>259</v>
      </c>
      <c r="K58" s="59" t="s">
        <v>426</v>
      </c>
      <c r="L58" s="58">
        <v>7</v>
      </c>
      <c r="M58" s="58" t="s">
        <v>259</v>
      </c>
      <c r="N58" s="55"/>
      <c r="O58" s="58"/>
      <c r="P58" s="58"/>
      <c r="U58" s="69" t="s">
        <v>340</v>
      </c>
      <c r="V58" s="80" t="s">
        <v>127</v>
      </c>
      <c r="W58" s="75">
        <f>IF($V58="","",VLOOKUP($V58,$Y$3:$AA$200,2))</f>
        <v>170</v>
      </c>
      <c r="X58" s="75" t="str">
        <f>IF($V58="","",VLOOKUP($V58,$Y$3:$AA$200,3))</f>
        <v>Continuous</v>
      </c>
      <c r="Y58" s="35" t="s">
        <v>226</v>
      </c>
      <c r="Z58" s="58">
        <v>7</v>
      </c>
      <c r="AA58" s="58" t="s">
        <v>259</v>
      </c>
    </row>
    <row r="59" spans="2:27" ht="15" customHeight="1" x14ac:dyDescent="0.25">
      <c r="B59" s="35" t="s">
        <v>148</v>
      </c>
      <c r="C59" s="58">
        <v>7</v>
      </c>
      <c r="D59" s="58" t="s">
        <v>259</v>
      </c>
      <c r="E59" s="35" t="s">
        <v>428</v>
      </c>
      <c r="F59" s="58">
        <v>7</v>
      </c>
      <c r="G59" s="58" t="s">
        <v>259</v>
      </c>
      <c r="H59" s="35" t="s">
        <v>148</v>
      </c>
      <c r="I59" s="58">
        <v>7</v>
      </c>
      <c r="J59" s="58" t="s">
        <v>259</v>
      </c>
      <c r="K59" s="34" t="s">
        <v>144</v>
      </c>
      <c r="L59" s="58">
        <v>7</v>
      </c>
      <c r="M59" s="58" t="s">
        <v>259</v>
      </c>
      <c r="N59" s="55"/>
      <c r="O59" s="58"/>
      <c r="P59" s="58"/>
      <c r="U59" s="69" t="s">
        <v>447</v>
      </c>
      <c r="V59" s="71" t="s">
        <v>212</v>
      </c>
      <c r="W59" s="75">
        <f>IF($V59="","",VLOOKUP($V59,$Y$3:$AA$200,2))</f>
        <v>30</v>
      </c>
      <c r="X59" s="75" t="str">
        <f>IF($V59="","",VLOOKUP($V59,$Y$3:$AA$200,3))</f>
        <v>Continuous</v>
      </c>
      <c r="Y59" s="35" t="s">
        <v>189</v>
      </c>
      <c r="Z59" s="58">
        <v>7</v>
      </c>
      <c r="AA59" s="58" t="s">
        <v>259</v>
      </c>
    </row>
    <row r="60" spans="2:27" ht="15" customHeight="1" x14ac:dyDescent="0.25">
      <c r="B60" s="35" t="s">
        <v>217</v>
      </c>
      <c r="C60" s="58">
        <v>7</v>
      </c>
      <c r="D60" s="58" t="s">
        <v>259</v>
      </c>
      <c r="E60" s="79" t="s">
        <v>427</v>
      </c>
      <c r="F60" s="58">
        <v>7</v>
      </c>
      <c r="G60" s="58" t="s">
        <v>259</v>
      </c>
      <c r="H60" s="35" t="s">
        <v>217</v>
      </c>
      <c r="I60" s="58">
        <v>7</v>
      </c>
      <c r="J60" s="58" t="s">
        <v>259</v>
      </c>
      <c r="K60" s="60" t="s">
        <v>145</v>
      </c>
      <c r="L60" s="58">
        <v>210</v>
      </c>
      <c r="M60" s="58" t="s">
        <v>259</v>
      </c>
      <c r="N60" s="55"/>
      <c r="O60" s="58"/>
      <c r="P60" s="58"/>
      <c r="U60" s="69" t="s">
        <v>446</v>
      </c>
      <c r="V60" s="71" t="s">
        <v>212</v>
      </c>
      <c r="W60" s="75">
        <f>IF($V60="","",VLOOKUP($V60,$Y$3:$AA$200,2))</f>
        <v>30</v>
      </c>
      <c r="X60" s="75" t="str">
        <f>IF($V60="","",VLOOKUP($V60,$Y$3:$AA$200,3))</f>
        <v>Continuous</v>
      </c>
      <c r="Y60" s="35" t="s">
        <v>219</v>
      </c>
      <c r="Z60" s="58">
        <v>252</v>
      </c>
      <c r="AA60" s="58" t="s">
        <v>259</v>
      </c>
    </row>
    <row r="61" spans="2:27" ht="15" customHeight="1" x14ac:dyDescent="0.25">
      <c r="B61" s="35" t="s">
        <v>149</v>
      </c>
      <c r="C61" s="58">
        <v>7</v>
      </c>
      <c r="D61" s="58" t="s">
        <v>259</v>
      </c>
      <c r="E61" s="35" t="s">
        <v>429</v>
      </c>
      <c r="F61" s="58">
        <v>7</v>
      </c>
      <c r="G61" s="58" t="s">
        <v>259</v>
      </c>
      <c r="H61" s="35" t="s">
        <v>149</v>
      </c>
      <c r="I61" s="58">
        <v>7</v>
      </c>
      <c r="J61" s="58" t="s">
        <v>259</v>
      </c>
      <c r="K61" s="34" t="s">
        <v>146</v>
      </c>
      <c r="L61" s="58">
        <v>7</v>
      </c>
      <c r="M61" s="58" t="s">
        <v>259</v>
      </c>
      <c r="N61" s="55"/>
      <c r="O61" s="58"/>
      <c r="P61" s="58"/>
      <c r="U61" s="69" t="s">
        <v>331</v>
      </c>
      <c r="V61" s="76" t="s">
        <v>426</v>
      </c>
      <c r="W61" s="75">
        <f>IF($V61="","",VLOOKUP($V61,$Y$3:$AA$200,2))</f>
        <v>7</v>
      </c>
      <c r="X61" s="75" t="str">
        <f>IF($V61="","",VLOOKUP($V61,$Y$3:$AA$200,3))</f>
        <v>Continuous</v>
      </c>
      <c r="Y61" s="35" t="s">
        <v>220</v>
      </c>
      <c r="Z61" s="58">
        <v>30</v>
      </c>
      <c r="AA61" s="58" t="s">
        <v>280</v>
      </c>
    </row>
    <row r="62" spans="2:27" ht="15" customHeight="1" x14ac:dyDescent="0.25">
      <c r="B62" s="35" t="s">
        <v>206</v>
      </c>
      <c r="C62" s="58">
        <v>7</v>
      </c>
      <c r="D62" s="58" t="s">
        <v>259</v>
      </c>
      <c r="E62" s="35" t="s">
        <v>133</v>
      </c>
      <c r="F62" s="58">
        <v>30</v>
      </c>
      <c r="G62" s="58" t="s">
        <v>256</v>
      </c>
      <c r="H62" s="35" t="s">
        <v>206</v>
      </c>
      <c r="I62" s="58">
        <v>7</v>
      </c>
      <c r="J62" s="58" t="s">
        <v>259</v>
      </c>
      <c r="K62" s="60" t="s">
        <v>193</v>
      </c>
      <c r="L62" s="58">
        <v>130</v>
      </c>
      <c r="M62" s="58" t="s">
        <v>259</v>
      </c>
      <c r="N62" s="55"/>
      <c r="O62" s="58"/>
      <c r="P62" s="58"/>
      <c r="U62" s="69" t="s">
        <v>335</v>
      </c>
      <c r="V62" s="76" t="s">
        <v>426</v>
      </c>
      <c r="W62" s="75">
        <f>IF($V62="","",VLOOKUP($V62,$Y$3:$AA$200,2))</f>
        <v>7</v>
      </c>
      <c r="X62" s="75" t="str">
        <f>IF($V62="","",VLOOKUP($V62,$Y$3:$AA$200,3))</f>
        <v>Continuous</v>
      </c>
      <c r="Y62" s="35" t="s">
        <v>222</v>
      </c>
      <c r="Z62" s="58">
        <v>23</v>
      </c>
      <c r="AA62" s="58" t="s">
        <v>259</v>
      </c>
    </row>
    <row r="63" spans="2:27" ht="15" customHeight="1" x14ac:dyDescent="0.25">
      <c r="B63" s="35"/>
      <c r="C63" s="58"/>
      <c r="D63" s="58"/>
      <c r="E63" s="35" t="s">
        <v>135</v>
      </c>
      <c r="F63" s="58">
        <v>7</v>
      </c>
      <c r="G63" s="58" t="s">
        <v>259</v>
      </c>
      <c r="H63" s="35"/>
      <c r="I63" s="58"/>
      <c r="J63" s="58"/>
      <c r="K63" s="34" t="s">
        <v>207</v>
      </c>
      <c r="L63" s="58">
        <v>84</v>
      </c>
      <c r="M63" s="58" t="s">
        <v>259</v>
      </c>
      <c r="N63" s="55"/>
      <c r="O63" s="58"/>
      <c r="P63" s="58"/>
      <c r="U63" s="69" t="s">
        <v>181</v>
      </c>
      <c r="V63" s="69" t="s">
        <v>181</v>
      </c>
      <c r="W63" s="75">
        <f>IF($V63="","",VLOOKUP($V63,$Y$3:$AA$200,2))</f>
        <v>10</v>
      </c>
      <c r="X63" s="75" t="str">
        <f>IF($V63="","",VLOOKUP($V63,$Y$3:$AA$200,3))</f>
        <v>Continuous</v>
      </c>
      <c r="Y63" s="35" t="s">
        <v>243</v>
      </c>
      <c r="Z63" s="58">
        <v>254</v>
      </c>
      <c r="AA63" s="58" t="s">
        <v>259</v>
      </c>
    </row>
    <row r="64" spans="2:27" ht="15" customHeight="1" x14ac:dyDescent="0.25">
      <c r="B64" s="35"/>
      <c r="C64" s="58"/>
      <c r="D64" s="58"/>
      <c r="E64" s="35" t="s">
        <v>136</v>
      </c>
      <c r="F64" s="58">
        <v>34</v>
      </c>
      <c r="G64" s="58" t="s">
        <v>259</v>
      </c>
      <c r="H64" s="35"/>
      <c r="I64" s="58"/>
      <c r="J64" s="58"/>
      <c r="K64" s="34" t="s">
        <v>147</v>
      </c>
      <c r="L64" s="58">
        <v>7</v>
      </c>
      <c r="M64" s="58" t="s">
        <v>259</v>
      </c>
      <c r="N64" s="55"/>
      <c r="O64" s="58"/>
      <c r="P64" s="58"/>
      <c r="U64" s="69" t="s">
        <v>179</v>
      </c>
      <c r="V64" s="69" t="s">
        <v>179</v>
      </c>
      <c r="W64" s="75">
        <f>IF($V64="","",VLOOKUP($V64,$Y$3:$AA$200,2))</f>
        <v>7</v>
      </c>
      <c r="X64" s="75" t="str">
        <f>IF($V64="","",VLOOKUP($V64,$Y$3:$AA$200,3))</f>
        <v>Continuous</v>
      </c>
      <c r="Y64" s="35" t="s">
        <v>244</v>
      </c>
      <c r="Z64" s="58">
        <v>253</v>
      </c>
      <c r="AA64" s="58" t="s">
        <v>259</v>
      </c>
    </row>
    <row r="65" spans="2:27" ht="15" customHeight="1" x14ac:dyDescent="0.25">
      <c r="B65" s="35"/>
      <c r="C65" s="58"/>
      <c r="D65" s="58"/>
      <c r="E65" s="35" t="s">
        <v>137</v>
      </c>
      <c r="F65" s="58">
        <v>7</v>
      </c>
      <c r="G65" s="58" t="s">
        <v>256</v>
      </c>
      <c r="H65" s="35"/>
      <c r="I65" s="58"/>
      <c r="J65" s="58"/>
      <c r="K65" s="34" t="s">
        <v>148</v>
      </c>
      <c r="L65" s="58">
        <v>7</v>
      </c>
      <c r="M65" s="58" t="s">
        <v>259</v>
      </c>
      <c r="N65" s="55"/>
      <c r="O65" s="58"/>
      <c r="P65" s="58"/>
      <c r="U65" s="69" t="s">
        <v>342</v>
      </c>
      <c r="V65" s="69" t="s">
        <v>179</v>
      </c>
      <c r="W65" s="75">
        <f>IF($V65="","",VLOOKUP($V65,$Y$3:$AA$200,2))</f>
        <v>7</v>
      </c>
      <c r="X65" s="75" t="str">
        <f>IF($V65="","",VLOOKUP($V65,$Y$3:$AA$200,3))</f>
        <v>Continuous</v>
      </c>
      <c r="Y65" s="35" t="s">
        <v>221</v>
      </c>
      <c r="Z65" s="58">
        <v>7</v>
      </c>
      <c r="AA65" s="58" t="s">
        <v>259</v>
      </c>
    </row>
    <row r="66" spans="2:27" ht="15" customHeight="1" x14ac:dyDescent="0.25">
      <c r="B66" s="35"/>
      <c r="C66" s="58"/>
      <c r="D66" s="58"/>
      <c r="E66" s="35" t="s">
        <v>143</v>
      </c>
      <c r="F66" s="58">
        <v>7</v>
      </c>
      <c r="G66" s="58" t="s">
        <v>259</v>
      </c>
      <c r="H66" s="35"/>
      <c r="I66" s="58"/>
      <c r="J66" s="58"/>
      <c r="K66" s="34" t="s">
        <v>217</v>
      </c>
      <c r="L66" s="58">
        <v>7</v>
      </c>
      <c r="M66" s="58" t="s">
        <v>259</v>
      </c>
      <c r="N66" s="55"/>
      <c r="O66" s="58"/>
      <c r="P66" s="58"/>
      <c r="U66" s="69" t="s">
        <v>128</v>
      </c>
      <c r="V66" s="69" t="s">
        <v>128</v>
      </c>
      <c r="W66" s="75">
        <f>IF($V66="","",VLOOKUP($V66,$Y$3:$AA$200,2))</f>
        <v>10</v>
      </c>
      <c r="X66" s="75" t="str">
        <f>IF($V66="","",VLOOKUP($V66,$Y$3:$AA$200,3))</f>
        <v>INTERROMPU</v>
      </c>
      <c r="Y66" s="35" t="s">
        <v>214</v>
      </c>
      <c r="Z66" s="58">
        <v>7</v>
      </c>
      <c r="AA66" s="58" t="s">
        <v>259</v>
      </c>
    </row>
    <row r="67" spans="2:27" ht="15" customHeight="1" x14ac:dyDescent="0.25">
      <c r="B67" s="56"/>
      <c r="C67" s="58"/>
      <c r="D67" s="58"/>
      <c r="E67" s="59" t="s">
        <v>426</v>
      </c>
      <c r="F67" s="58">
        <v>7</v>
      </c>
      <c r="G67" s="58" t="s">
        <v>259</v>
      </c>
      <c r="H67" s="35"/>
      <c r="I67" s="58"/>
      <c r="J67" s="58"/>
      <c r="K67" s="34" t="s">
        <v>149</v>
      </c>
      <c r="L67" s="58">
        <v>7</v>
      </c>
      <c r="M67" s="58" t="s">
        <v>259</v>
      </c>
      <c r="N67" s="55"/>
      <c r="O67" s="58"/>
      <c r="P67" s="58"/>
      <c r="U67" s="69" t="s">
        <v>345</v>
      </c>
      <c r="V67" s="80" t="s">
        <v>185</v>
      </c>
      <c r="W67" s="75">
        <f>IF($V67="","",VLOOKUP($V67,$Y$3:$AA$200,2))</f>
        <v>253</v>
      </c>
      <c r="X67" s="75" t="str">
        <f>IF($V67="","",VLOOKUP($V67,$Y$3:$AA$200,3))</f>
        <v>Continuous</v>
      </c>
      <c r="Y67" s="35" t="s">
        <v>215</v>
      </c>
      <c r="Z67" s="58">
        <v>7</v>
      </c>
      <c r="AA67" s="58" t="s">
        <v>259</v>
      </c>
    </row>
    <row r="68" spans="2:27" ht="15" customHeight="1" x14ac:dyDescent="0.25">
      <c r="B68" s="56"/>
      <c r="C68" s="58"/>
      <c r="D68" s="58"/>
      <c r="E68" s="35" t="s">
        <v>144</v>
      </c>
      <c r="F68" s="58">
        <v>7</v>
      </c>
      <c r="G68" s="58" t="s">
        <v>259</v>
      </c>
      <c r="H68" s="35"/>
      <c r="I68" s="58"/>
      <c r="J68" s="58"/>
      <c r="K68" s="34" t="s">
        <v>206</v>
      </c>
      <c r="L68" s="58">
        <v>7</v>
      </c>
      <c r="M68" s="58" t="s">
        <v>259</v>
      </c>
      <c r="N68" s="55"/>
      <c r="O68" s="58"/>
      <c r="P68" s="58"/>
      <c r="U68" s="69" t="s">
        <v>184</v>
      </c>
      <c r="V68" s="69" t="s">
        <v>184</v>
      </c>
      <c r="W68" s="75">
        <f>IF($V68="","",VLOOKUP($V68,$Y$3:$AA$200,2))</f>
        <v>234</v>
      </c>
      <c r="X68" s="75" t="str">
        <f>IF($V68="","",VLOOKUP($V68,$Y$3:$AA$200,3))</f>
        <v>Continuous</v>
      </c>
      <c r="Y68" s="35" t="s">
        <v>131</v>
      </c>
      <c r="Z68" s="58">
        <v>62</v>
      </c>
      <c r="AA68" s="58" t="s">
        <v>259</v>
      </c>
    </row>
    <row r="69" spans="2:27" ht="15" customHeight="1" x14ac:dyDescent="0.25">
      <c r="B69" s="56"/>
      <c r="C69" s="58"/>
      <c r="D69" s="58"/>
      <c r="E69" s="59" t="s">
        <v>145</v>
      </c>
      <c r="F69" s="58">
        <v>210</v>
      </c>
      <c r="G69" s="58" t="s">
        <v>259</v>
      </c>
      <c r="H69" s="35"/>
      <c r="I69" s="58"/>
      <c r="J69" s="58"/>
      <c r="K69" s="35"/>
      <c r="L69" s="58"/>
      <c r="M69" s="58"/>
      <c r="N69" s="55"/>
      <c r="O69" s="58"/>
      <c r="P69" s="58"/>
      <c r="U69" s="69" t="s">
        <v>346</v>
      </c>
      <c r="V69" s="76" t="s">
        <v>426</v>
      </c>
      <c r="W69" s="75">
        <f>IF($V69="","",VLOOKUP($V69,$Y$3:$AA$200,2))</f>
        <v>7</v>
      </c>
      <c r="X69" s="75" t="str">
        <f>IF($V69="","",VLOOKUP($V69,$Y$3:$AA$200,3))</f>
        <v>Continuous</v>
      </c>
      <c r="Y69" s="35" t="s">
        <v>431</v>
      </c>
      <c r="Z69" s="58">
        <v>164</v>
      </c>
      <c r="AA69" s="58" t="s">
        <v>256</v>
      </c>
    </row>
    <row r="70" spans="2:27" ht="15" customHeight="1" x14ac:dyDescent="0.25">
      <c r="B70" s="56"/>
      <c r="C70" s="58"/>
      <c r="D70" s="58"/>
      <c r="E70" s="35" t="s">
        <v>146</v>
      </c>
      <c r="F70" s="58">
        <v>7</v>
      </c>
      <c r="G70" s="58" t="s">
        <v>259</v>
      </c>
      <c r="H70" s="35"/>
      <c r="I70" s="58"/>
      <c r="J70" s="58"/>
      <c r="K70" s="35"/>
      <c r="L70" s="58"/>
      <c r="M70" s="58"/>
      <c r="N70" s="55"/>
      <c r="O70" s="58"/>
      <c r="P70" s="58"/>
      <c r="U70" s="69" t="s">
        <v>352</v>
      </c>
      <c r="V70" s="72" t="s">
        <v>222</v>
      </c>
      <c r="W70" s="75">
        <f>IF($V70="","",VLOOKUP($V70,$Y$3:$AA$200,2))</f>
        <v>23</v>
      </c>
      <c r="X70" s="75" t="str">
        <f>IF($V70="","",VLOOKUP($V70,$Y$3:$AA$200,3))</f>
        <v>Continuous</v>
      </c>
      <c r="Y70" s="35" t="s">
        <v>232</v>
      </c>
      <c r="Z70" s="58">
        <v>34</v>
      </c>
      <c r="AA70" s="58" t="s">
        <v>257</v>
      </c>
    </row>
    <row r="71" spans="2:27" ht="15" customHeight="1" x14ac:dyDescent="0.25">
      <c r="B71" s="56"/>
      <c r="C71" s="58"/>
      <c r="D71" s="58"/>
      <c r="E71" s="59" t="s">
        <v>193</v>
      </c>
      <c r="F71" s="58">
        <v>130</v>
      </c>
      <c r="G71" s="58" t="s">
        <v>259</v>
      </c>
      <c r="H71" s="35"/>
      <c r="I71" s="58"/>
      <c r="J71" s="58"/>
      <c r="K71" s="35"/>
      <c r="L71" s="58"/>
      <c r="M71" s="58"/>
      <c r="N71" s="55"/>
      <c r="O71" s="58"/>
      <c r="P71" s="58"/>
      <c r="U71" s="69" t="s">
        <v>354</v>
      </c>
      <c r="V71" s="69" t="s">
        <v>223</v>
      </c>
      <c r="W71" s="75">
        <f>IF($V71="","",VLOOKUP($V71,$Y$3:$AA$200,2))</f>
        <v>21</v>
      </c>
      <c r="X71" s="75" t="str">
        <f>IF($V71="","",VLOOKUP($V71,$Y$3:$AA$200,3))</f>
        <v>Continuous</v>
      </c>
      <c r="Y71" s="35" t="s">
        <v>233</v>
      </c>
      <c r="Z71" s="58">
        <v>32</v>
      </c>
      <c r="AA71" s="58" t="s">
        <v>257</v>
      </c>
    </row>
    <row r="72" spans="2:27" ht="15" customHeight="1" x14ac:dyDescent="0.25">
      <c r="B72" s="56"/>
      <c r="C72" s="58"/>
      <c r="D72" s="58"/>
      <c r="E72" s="35" t="s">
        <v>207</v>
      </c>
      <c r="F72" s="58">
        <v>84</v>
      </c>
      <c r="G72" s="58" t="s">
        <v>259</v>
      </c>
      <c r="H72" s="35"/>
      <c r="I72" s="58"/>
      <c r="J72" s="58"/>
      <c r="K72" s="35"/>
      <c r="L72" s="58"/>
      <c r="M72" s="58"/>
      <c r="N72" s="55"/>
      <c r="O72" s="58"/>
      <c r="P72" s="58"/>
      <c r="U72" s="69" t="s">
        <v>349</v>
      </c>
      <c r="V72" s="72" t="s">
        <v>244</v>
      </c>
      <c r="W72" s="75">
        <f>IF($V72="","",VLOOKUP($V72,$Y$3:$AA$200,2))</f>
        <v>253</v>
      </c>
      <c r="X72" s="75" t="str">
        <f>IF($V72="","",VLOOKUP($V72,$Y$3:$AA$200,3))</f>
        <v>Continuous</v>
      </c>
      <c r="Y72" s="35" t="s">
        <v>237</v>
      </c>
      <c r="Z72" s="58">
        <v>173</v>
      </c>
      <c r="AA72" s="58" t="s">
        <v>266</v>
      </c>
    </row>
    <row r="73" spans="2:27" ht="15" customHeight="1" x14ac:dyDescent="0.25">
      <c r="B73" s="56"/>
      <c r="C73" s="58"/>
      <c r="D73" s="58"/>
      <c r="E73" s="35" t="s">
        <v>147</v>
      </c>
      <c r="F73" s="58">
        <v>7</v>
      </c>
      <c r="G73" s="58" t="s">
        <v>259</v>
      </c>
      <c r="H73" s="35"/>
      <c r="I73" s="58"/>
      <c r="J73" s="58"/>
      <c r="K73" s="35"/>
      <c r="L73" s="58"/>
      <c r="M73" s="58"/>
      <c r="N73" s="55"/>
      <c r="O73" s="58"/>
      <c r="P73" s="58"/>
      <c r="U73" s="69" t="s">
        <v>185</v>
      </c>
      <c r="V73" s="69" t="s">
        <v>185</v>
      </c>
      <c r="W73" s="75">
        <f>IF($V73="","",VLOOKUP($V73,$Y$3:$AA$200,2))</f>
        <v>253</v>
      </c>
      <c r="X73" s="75" t="str">
        <f>IF($V73="","",VLOOKUP($V73,$Y$3:$AA$200,3))</f>
        <v>Continuous</v>
      </c>
      <c r="Y73" s="35" t="s">
        <v>286</v>
      </c>
      <c r="Z73" s="58">
        <v>170</v>
      </c>
      <c r="AA73" s="58" t="s">
        <v>422</v>
      </c>
    </row>
    <row r="74" spans="2:27" ht="15" customHeight="1" x14ac:dyDescent="0.25">
      <c r="B74" s="56"/>
      <c r="C74" s="58"/>
      <c r="D74" s="58"/>
      <c r="E74" s="35" t="s">
        <v>148</v>
      </c>
      <c r="F74" s="58">
        <v>7</v>
      </c>
      <c r="G74" s="58" t="s">
        <v>259</v>
      </c>
      <c r="H74" s="35"/>
      <c r="I74" s="58"/>
      <c r="J74" s="58"/>
      <c r="K74" s="35"/>
      <c r="L74" s="58"/>
      <c r="M74" s="58"/>
      <c r="N74" s="55"/>
      <c r="O74" s="58"/>
      <c r="P74" s="58"/>
      <c r="U74" s="69" t="s">
        <v>357</v>
      </c>
      <c r="V74" s="72" t="s">
        <v>221</v>
      </c>
      <c r="W74" s="75">
        <f>IF($V74="","",VLOOKUP($V74,$Y$3:$AA$200,2))</f>
        <v>7</v>
      </c>
      <c r="X74" s="75" t="str">
        <f>IF($V74="","",VLOOKUP($V74,$Y$3:$AA$200,3))</f>
        <v>Continuous</v>
      </c>
      <c r="Y74" s="35" t="s">
        <v>234</v>
      </c>
      <c r="Z74" s="58">
        <v>7</v>
      </c>
      <c r="AA74" s="58" t="s">
        <v>281</v>
      </c>
    </row>
    <row r="75" spans="2:27" ht="15" customHeight="1" x14ac:dyDescent="0.25">
      <c r="B75" s="56"/>
      <c r="C75" s="58"/>
      <c r="D75" s="58"/>
      <c r="E75" s="35" t="s">
        <v>217</v>
      </c>
      <c r="F75" s="58">
        <v>7</v>
      </c>
      <c r="G75" s="58" t="s">
        <v>259</v>
      </c>
      <c r="H75" s="56"/>
      <c r="I75" s="58"/>
      <c r="J75" s="58"/>
      <c r="K75" s="35"/>
      <c r="L75" s="58"/>
      <c r="M75" s="58"/>
      <c r="N75" s="55"/>
      <c r="O75" s="58"/>
      <c r="P75" s="58"/>
      <c r="U75" s="69" t="s">
        <v>186</v>
      </c>
      <c r="V75" s="69" t="s">
        <v>186</v>
      </c>
      <c r="W75" s="75">
        <f>IF($V75="","",VLOOKUP($V75,$Y$3:$AA$200,2))</f>
        <v>7</v>
      </c>
      <c r="X75" s="75" t="str">
        <f>IF($V75="","",VLOOKUP($V75,$Y$3:$AA$200,3))</f>
        <v>Continuous</v>
      </c>
      <c r="Y75" s="53" t="s">
        <v>288</v>
      </c>
      <c r="Z75" s="58">
        <v>152</v>
      </c>
      <c r="AA75" s="58" t="s">
        <v>423</v>
      </c>
    </row>
    <row r="76" spans="2:27" ht="15" customHeight="1" x14ac:dyDescent="0.25">
      <c r="B76" s="56"/>
      <c r="C76" s="58"/>
      <c r="D76" s="58"/>
      <c r="E76" s="35" t="s">
        <v>149</v>
      </c>
      <c r="F76" s="58">
        <v>7</v>
      </c>
      <c r="G76" s="58" t="s">
        <v>259</v>
      </c>
      <c r="H76" s="56"/>
      <c r="I76" s="58"/>
      <c r="J76" s="58"/>
      <c r="K76" s="35"/>
      <c r="L76" s="58"/>
      <c r="M76" s="58"/>
      <c r="N76" s="55"/>
      <c r="O76" s="58"/>
      <c r="P76" s="58"/>
      <c r="U76" s="69" t="s">
        <v>187</v>
      </c>
      <c r="V76" s="69" t="s">
        <v>187</v>
      </c>
      <c r="W76" s="75">
        <f>IF($V76="","",VLOOKUP($V76,$Y$3:$AA$200,2))</f>
        <v>130</v>
      </c>
      <c r="X76" s="75" t="str">
        <f>IF($V76="","",VLOOKUP($V76,$Y$3:$AA$200,3))</f>
        <v>Continuous</v>
      </c>
      <c r="Y76" s="53" t="s">
        <v>171</v>
      </c>
      <c r="Z76" s="58">
        <v>152</v>
      </c>
      <c r="AA76" s="58" t="s">
        <v>264</v>
      </c>
    </row>
    <row r="77" spans="2:27" ht="15" customHeight="1" x14ac:dyDescent="0.25">
      <c r="B77" s="56"/>
      <c r="C77" s="58"/>
      <c r="D77" s="58"/>
      <c r="E77" s="35" t="s">
        <v>206</v>
      </c>
      <c r="F77" s="58">
        <v>7</v>
      </c>
      <c r="G77" s="58" t="s">
        <v>259</v>
      </c>
      <c r="H77" s="56"/>
      <c r="I77" s="58"/>
      <c r="J77" s="58"/>
      <c r="K77" s="35"/>
      <c r="L77" s="58"/>
      <c r="M77" s="58"/>
      <c r="N77" s="55"/>
      <c r="O77" s="58"/>
      <c r="P77" s="58"/>
      <c r="U77" s="69" t="s">
        <v>129</v>
      </c>
      <c r="V77" s="69" t="s">
        <v>129</v>
      </c>
      <c r="W77" s="75">
        <f>IF($V77="","",VLOOKUP($V77,$Y$3:$AA$200,2))</f>
        <v>50</v>
      </c>
      <c r="X77" s="75" t="str">
        <f>IF($V77="","",VLOOKUP($V77,$Y$3:$AA$200,3))</f>
        <v>Continuous</v>
      </c>
      <c r="Y77" s="35" t="s">
        <v>235</v>
      </c>
      <c r="Z77" s="58">
        <v>30</v>
      </c>
      <c r="AA77" s="58" t="s">
        <v>278</v>
      </c>
    </row>
    <row r="78" spans="2:27" ht="15" customHeight="1" x14ac:dyDescent="0.25">
      <c r="B78" s="56"/>
      <c r="C78" s="58"/>
      <c r="D78" s="58"/>
      <c r="E78" s="35"/>
      <c r="F78" s="58"/>
      <c r="G78" s="58"/>
      <c r="H78" s="56"/>
      <c r="I78" s="58"/>
      <c r="J78" s="58"/>
      <c r="K78" s="35"/>
      <c r="L78" s="58"/>
      <c r="M78" s="58"/>
      <c r="N78" s="55"/>
      <c r="O78" s="58"/>
      <c r="P78" s="58"/>
      <c r="U78" s="69" t="s">
        <v>359</v>
      </c>
      <c r="V78" s="80" t="s">
        <v>121</v>
      </c>
      <c r="W78" s="75">
        <f>IF($V78="","",VLOOKUP($V78,$Y$3:$AA$200,2))</f>
        <v>170</v>
      </c>
      <c r="X78" s="75" t="str">
        <f>IF($V78="","",VLOOKUP($V78,$Y$3:$AA$200,3))</f>
        <v>Continuous</v>
      </c>
      <c r="Y78" s="35" t="s">
        <v>236</v>
      </c>
      <c r="Z78" s="58">
        <v>102</v>
      </c>
      <c r="AA78" s="58" t="s">
        <v>283</v>
      </c>
    </row>
    <row r="79" spans="2:27" ht="15" customHeight="1" x14ac:dyDescent="0.25">
      <c r="B79" s="56"/>
      <c r="C79" s="58"/>
      <c r="D79" s="58"/>
      <c r="E79" s="35"/>
      <c r="F79" s="58"/>
      <c r="G79" s="58"/>
      <c r="H79" s="56"/>
      <c r="I79" s="58"/>
      <c r="J79" s="58"/>
      <c r="K79" s="35"/>
      <c r="L79" s="58"/>
      <c r="M79" s="58"/>
      <c r="N79" s="55"/>
      <c r="O79" s="58"/>
      <c r="P79" s="58"/>
      <c r="U79" s="69" t="s">
        <v>361</v>
      </c>
      <c r="V79" s="69" t="s">
        <v>170</v>
      </c>
      <c r="W79" s="75">
        <f>IF($V79="","",VLOOKUP($V79,$Y$3:$AA$200,2))</f>
        <v>170</v>
      </c>
      <c r="X79" s="75" t="str">
        <f>IF($V79="","",VLOOKUP($V79,$Y$3:$AA$200,3))</f>
        <v>Continuous</v>
      </c>
      <c r="Y79" s="53" t="s">
        <v>172</v>
      </c>
      <c r="Z79" s="58">
        <v>40</v>
      </c>
      <c r="AA79" s="58" t="s">
        <v>267</v>
      </c>
    </row>
    <row r="80" spans="2:27" ht="15" customHeight="1" x14ac:dyDescent="0.25">
      <c r="B80" s="56"/>
      <c r="C80" s="58"/>
      <c r="D80" s="58"/>
      <c r="E80" s="35"/>
      <c r="F80" s="58"/>
      <c r="G80" s="58"/>
      <c r="H80" s="56"/>
      <c r="I80" s="58"/>
      <c r="J80" s="58"/>
      <c r="K80" s="35"/>
      <c r="L80" s="58"/>
      <c r="M80" s="58"/>
      <c r="N80" s="55"/>
      <c r="O80" s="58"/>
      <c r="P80" s="58"/>
      <c r="U80" s="69" t="s">
        <v>130</v>
      </c>
      <c r="V80" s="69" t="s">
        <v>130</v>
      </c>
      <c r="W80" s="75">
        <f>IF($V80="","",VLOOKUP($V80,$Y$3:$AA$200,2))</f>
        <v>7</v>
      </c>
      <c r="X80" s="75" t="str">
        <f>IF($V80="","",VLOOKUP($V80,$Y$3:$AA$200,3))</f>
        <v>Continuous</v>
      </c>
      <c r="Y80" s="35" t="s">
        <v>245</v>
      </c>
      <c r="Z80" s="58">
        <v>80</v>
      </c>
      <c r="AA80" s="58" t="s">
        <v>259</v>
      </c>
    </row>
    <row r="81" spans="2:27" ht="15" customHeight="1" x14ac:dyDescent="0.25">
      <c r="B81" s="56"/>
      <c r="C81" s="58"/>
      <c r="D81" s="58"/>
      <c r="E81" s="35"/>
      <c r="F81" s="58"/>
      <c r="G81" s="58"/>
      <c r="H81" s="56"/>
      <c r="I81" s="58"/>
      <c r="J81" s="58"/>
      <c r="K81" s="35"/>
      <c r="L81" s="58"/>
      <c r="M81" s="58"/>
      <c r="N81" s="55"/>
      <c r="O81" s="58"/>
      <c r="P81" s="58"/>
      <c r="U81" s="69" t="s">
        <v>362</v>
      </c>
      <c r="V81" s="72" t="s">
        <v>226</v>
      </c>
      <c r="W81" s="75">
        <f>IF($V81="","",VLOOKUP($V81,$Y$3:$AA$200,2))</f>
        <v>7</v>
      </c>
      <c r="X81" s="75" t="str">
        <f>IF($V81="","",VLOOKUP($V81,$Y$3:$AA$200,3))</f>
        <v>Continuous</v>
      </c>
      <c r="Y81" s="35" t="s">
        <v>239</v>
      </c>
      <c r="Z81" s="58">
        <v>7</v>
      </c>
      <c r="AA81" s="58" t="s">
        <v>259</v>
      </c>
    </row>
    <row r="82" spans="2:27" ht="15" customHeight="1" x14ac:dyDescent="0.25">
      <c r="B82" s="56"/>
      <c r="C82" s="58"/>
      <c r="D82" s="58"/>
      <c r="E82" s="35"/>
      <c r="F82" s="58"/>
      <c r="G82" s="58"/>
      <c r="H82" s="56"/>
      <c r="I82" s="58"/>
      <c r="J82" s="58"/>
      <c r="K82" s="35"/>
      <c r="L82" s="58"/>
      <c r="M82" s="58"/>
      <c r="N82" s="55"/>
      <c r="O82" s="58"/>
      <c r="P82" s="58"/>
      <c r="U82" s="69" t="s">
        <v>365</v>
      </c>
      <c r="V82" s="72" t="s">
        <v>226</v>
      </c>
      <c r="W82" s="75">
        <f>IF($V82="","",VLOOKUP($V82,$Y$3:$AA$200,2))</f>
        <v>7</v>
      </c>
      <c r="X82" s="75" t="str">
        <f>IF($V82="","",VLOOKUP($V82,$Y$3:$AA$200,3))</f>
        <v>Continuous</v>
      </c>
      <c r="Y82" s="53" t="s">
        <v>173</v>
      </c>
      <c r="Z82" s="58">
        <v>64</v>
      </c>
      <c r="AA82" s="58" t="s">
        <v>261</v>
      </c>
    </row>
    <row r="83" spans="2:27" ht="15" customHeight="1" x14ac:dyDescent="0.25">
      <c r="B83" s="56"/>
      <c r="C83" s="58"/>
      <c r="D83" s="58"/>
      <c r="E83" s="35"/>
      <c r="F83" s="58"/>
      <c r="G83" s="58"/>
      <c r="H83" s="56"/>
      <c r="I83" s="58"/>
      <c r="J83" s="58"/>
      <c r="K83" s="35"/>
      <c r="L83" s="58"/>
      <c r="M83" s="58"/>
      <c r="N83" s="55"/>
      <c r="O83" s="58"/>
      <c r="P83" s="58"/>
      <c r="U83" s="69" t="s">
        <v>367</v>
      </c>
      <c r="V83" s="72" t="s">
        <v>226</v>
      </c>
      <c r="W83" s="75">
        <f>IF($V83="","",VLOOKUP($V83,$Y$3:$AA$200,2))</f>
        <v>7</v>
      </c>
      <c r="X83" s="75" t="str">
        <f>IF($V83="","",VLOOKUP($V83,$Y$3:$AA$200,3))</f>
        <v>Continuous</v>
      </c>
      <c r="Y83" s="53" t="s">
        <v>176</v>
      </c>
      <c r="Z83" s="58">
        <v>141</v>
      </c>
      <c r="AA83" s="58" t="s">
        <v>262</v>
      </c>
    </row>
    <row r="84" spans="2:27" ht="15" customHeight="1" x14ac:dyDescent="0.25">
      <c r="B84" s="56"/>
      <c r="C84" s="58"/>
      <c r="D84" s="58"/>
      <c r="E84" s="35"/>
      <c r="F84" s="58"/>
      <c r="G84" s="58"/>
      <c r="H84" s="56"/>
      <c r="I84" s="58"/>
      <c r="J84" s="58"/>
      <c r="K84" s="35"/>
      <c r="L84" s="58"/>
      <c r="M84" s="58"/>
      <c r="N84" s="57"/>
      <c r="O84" s="58"/>
      <c r="P84" s="58"/>
      <c r="U84" s="69" t="s">
        <v>368</v>
      </c>
      <c r="V84" s="72" t="s">
        <v>207</v>
      </c>
      <c r="W84" s="75">
        <f>IF($V84="","",VLOOKUP($V84,$Y$3:$AA$200,2))</f>
        <v>84</v>
      </c>
      <c r="X84" s="75" t="str">
        <f>IF($V84="","",VLOOKUP($V84,$Y$3:$AA$200,3))</f>
        <v>Continuous</v>
      </c>
      <c r="Y84" s="35" t="s">
        <v>238</v>
      </c>
      <c r="Z84" s="58">
        <v>141</v>
      </c>
      <c r="AA84" s="58" t="s">
        <v>262</v>
      </c>
    </row>
    <row r="85" spans="2:27" ht="15" customHeight="1" x14ac:dyDescent="0.25">
      <c r="B85" s="54"/>
      <c r="C85" s="58"/>
      <c r="D85" s="58"/>
      <c r="E85" s="35"/>
      <c r="F85" s="58"/>
      <c r="G85" s="58"/>
      <c r="H85" s="54"/>
      <c r="I85" s="58"/>
      <c r="J85" s="58"/>
      <c r="K85" s="54"/>
      <c r="L85" s="58"/>
      <c r="M85" s="58"/>
      <c r="N85" s="54"/>
      <c r="O85" s="58"/>
      <c r="P85" s="58"/>
      <c r="U85" s="69" t="s">
        <v>370</v>
      </c>
      <c r="V85" s="72" t="s">
        <v>207</v>
      </c>
      <c r="W85" s="75">
        <f>IF($V85="","",VLOOKUP($V85,$Y$3:$AA$200,2))</f>
        <v>84</v>
      </c>
      <c r="X85" s="75" t="str">
        <f>IF($V85="","",VLOOKUP($V85,$Y$3:$AA$200,3))</f>
        <v>Continuous</v>
      </c>
      <c r="Y85" s="35" t="s">
        <v>211</v>
      </c>
      <c r="Z85" s="58">
        <v>253</v>
      </c>
      <c r="AA85" s="58" t="s">
        <v>259</v>
      </c>
    </row>
    <row r="86" spans="2:27" ht="15" customHeight="1" x14ac:dyDescent="0.25">
      <c r="B86" s="54"/>
      <c r="C86" s="58"/>
      <c r="D86" s="58"/>
      <c r="E86" s="54"/>
      <c r="F86" s="58"/>
      <c r="G86" s="58"/>
      <c r="H86" s="54"/>
      <c r="I86" s="58"/>
      <c r="J86" s="58"/>
      <c r="K86" s="54"/>
      <c r="L86" s="58"/>
      <c r="M86" s="58"/>
      <c r="N86" s="54"/>
      <c r="O86" s="58"/>
      <c r="P86" s="58"/>
      <c r="U86" s="69" t="s">
        <v>372</v>
      </c>
      <c r="V86" s="76" t="s">
        <v>426</v>
      </c>
      <c r="W86" s="75">
        <f>IF($V86="","",VLOOKUP($V86,$Y$3:$AA$200,2))</f>
        <v>7</v>
      </c>
      <c r="X86" s="75" t="str">
        <f>IF($V86="","",VLOOKUP($V86,$Y$3:$AA$200,3))</f>
        <v>Continuous</v>
      </c>
      <c r="Y86" s="35" t="s">
        <v>132</v>
      </c>
      <c r="Z86" s="58">
        <v>10</v>
      </c>
      <c r="AA86" s="58" t="s">
        <v>259</v>
      </c>
    </row>
    <row r="87" spans="2:27" ht="15" customHeight="1" x14ac:dyDescent="0.25">
      <c r="B87" s="54"/>
      <c r="C87" s="58"/>
      <c r="D87" s="58"/>
      <c r="E87" s="54"/>
      <c r="F87" s="58"/>
      <c r="G87" s="58"/>
      <c r="H87" s="54"/>
      <c r="I87" s="58"/>
      <c r="J87" s="58"/>
      <c r="K87" s="54"/>
      <c r="L87" s="58"/>
      <c r="M87" s="58"/>
      <c r="N87" s="54"/>
      <c r="O87" s="58"/>
      <c r="P87" s="58"/>
      <c r="U87" s="69" t="s">
        <v>189</v>
      </c>
      <c r="V87" s="69" t="s">
        <v>189</v>
      </c>
      <c r="W87" s="75">
        <f>IF($V87="","",VLOOKUP($V87,$Y$3:$AA$200,2))</f>
        <v>7</v>
      </c>
      <c r="X87" s="75" t="str">
        <f>IF($V87="","",VLOOKUP($V87,$Y$3:$AA$200,3))</f>
        <v>Continuous</v>
      </c>
      <c r="Y87" s="35" t="s">
        <v>449</v>
      </c>
      <c r="Z87" s="58">
        <v>150</v>
      </c>
      <c r="AA87" s="58" t="s">
        <v>287</v>
      </c>
    </row>
    <row r="88" spans="2:27" ht="15" customHeight="1" x14ac:dyDescent="0.25">
      <c r="B88" s="54"/>
      <c r="C88" s="58"/>
      <c r="D88" s="58"/>
      <c r="E88" s="54"/>
      <c r="F88" s="58"/>
      <c r="G88" s="58"/>
      <c r="H88" s="54"/>
      <c r="I88" s="58"/>
      <c r="J88" s="58"/>
      <c r="K88" s="54"/>
      <c r="L88" s="58"/>
      <c r="M88" s="58"/>
      <c r="N88" s="54"/>
      <c r="O88" s="58"/>
      <c r="P88" s="58"/>
      <c r="U88" s="69" t="s">
        <v>333</v>
      </c>
      <c r="V88" s="72" t="s">
        <v>430</v>
      </c>
      <c r="W88" s="75">
        <f>IF($V88="","",VLOOKUP($V88,$Y$3:$AA$200,2))</f>
        <v>7</v>
      </c>
      <c r="X88" s="75" t="str">
        <f>IF($V88="","",VLOOKUP($V88,$Y$3:$AA$200,3))</f>
        <v>Continuous</v>
      </c>
      <c r="Y88" s="53" t="s">
        <v>290</v>
      </c>
      <c r="Z88" s="58">
        <v>64</v>
      </c>
      <c r="AA88" s="58" t="s">
        <v>266</v>
      </c>
    </row>
    <row r="89" spans="2:27" ht="15" customHeight="1" x14ac:dyDescent="0.25">
      <c r="B89" s="54"/>
      <c r="C89" s="58"/>
      <c r="D89" s="58"/>
      <c r="E89" s="54"/>
      <c r="F89" s="58"/>
      <c r="G89" s="58"/>
      <c r="H89" s="54"/>
      <c r="I89" s="58"/>
      <c r="J89" s="58"/>
      <c r="K89" s="54"/>
      <c r="L89" s="58"/>
      <c r="M89" s="58"/>
      <c r="N89" s="54"/>
      <c r="O89" s="58"/>
      <c r="P89" s="58"/>
      <c r="U89" s="69" t="s">
        <v>337</v>
      </c>
      <c r="V89" s="80" t="s">
        <v>213</v>
      </c>
      <c r="W89" s="75">
        <f>IF($V89="","",VLOOKUP($V89,$Y$3:$AA$200,2))</f>
        <v>7</v>
      </c>
      <c r="X89" s="75" t="str">
        <f>IF($V89="","",VLOOKUP($V89,$Y$3:$AA$200,3))</f>
        <v>Continuous</v>
      </c>
      <c r="Y89" s="53" t="s">
        <v>177</v>
      </c>
      <c r="Z89" s="58">
        <v>7</v>
      </c>
      <c r="AA89" s="58" t="s">
        <v>268</v>
      </c>
    </row>
    <row r="90" spans="2:27" ht="15" customHeight="1" x14ac:dyDescent="0.25">
      <c r="B90" s="54"/>
      <c r="C90" s="58"/>
      <c r="D90" s="58"/>
      <c r="E90" s="54"/>
      <c r="F90" s="58"/>
      <c r="G90" s="58"/>
      <c r="H90" s="54"/>
      <c r="I90" s="58"/>
      <c r="J90" s="58"/>
      <c r="K90" s="54"/>
      <c r="L90" s="58"/>
      <c r="M90" s="58"/>
      <c r="N90" s="54"/>
      <c r="O90" s="58"/>
      <c r="P90" s="58"/>
      <c r="U90" s="69" t="s">
        <v>339</v>
      </c>
      <c r="V90" s="80" t="s">
        <v>213</v>
      </c>
      <c r="W90" s="75">
        <f>IF($V90="","",VLOOKUP($V90,$Y$3:$AA$200,2))</f>
        <v>7</v>
      </c>
      <c r="X90" s="75" t="str">
        <f>IF($V90="","",VLOOKUP($V90,$Y$3:$AA$200,3))</f>
        <v>Continuous</v>
      </c>
      <c r="Y90" s="35" t="s">
        <v>191</v>
      </c>
      <c r="Z90" s="58">
        <v>210</v>
      </c>
      <c r="AA90" s="58" t="s">
        <v>259</v>
      </c>
    </row>
    <row r="91" spans="2:27" ht="15" customHeight="1" x14ac:dyDescent="0.25">
      <c r="B91" s="54"/>
      <c r="C91" s="58"/>
      <c r="D91" s="58"/>
      <c r="E91" s="54"/>
      <c r="F91" s="58"/>
      <c r="G91" s="58"/>
      <c r="H91" s="54"/>
      <c r="I91" s="58"/>
      <c r="J91" s="58"/>
      <c r="K91" s="54"/>
      <c r="L91" s="58"/>
      <c r="M91" s="58"/>
      <c r="N91" s="54"/>
      <c r="O91" s="58"/>
      <c r="P91" s="58"/>
      <c r="U91" s="69" t="s">
        <v>341</v>
      </c>
      <c r="V91" s="72" t="s">
        <v>213</v>
      </c>
      <c r="W91" s="75">
        <f>IF($V91="","",VLOOKUP($V91,$Y$3:$AA$200,2))</f>
        <v>7</v>
      </c>
      <c r="X91" s="75" t="str">
        <f>IF($V91="","",VLOOKUP($V91,$Y$3:$AA$200,3))</f>
        <v>Continuous</v>
      </c>
      <c r="Y91" s="35" t="s">
        <v>216</v>
      </c>
      <c r="Z91" s="58">
        <v>7</v>
      </c>
      <c r="AA91" s="58" t="s">
        <v>259</v>
      </c>
    </row>
    <row r="92" spans="2:27" ht="15" customHeight="1" x14ac:dyDescent="0.25">
      <c r="B92" s="54"/>
      <c r="C92" s="58"/>
      <c r="D92" s="58"/>
      <c r="E92" s="54"/>
      <c r="F92" s="58"/>
      <c r="G92" s="58"/>
      <c r="H92" s="54"/>
      <c r="I92" s="58"/>
      <c r="J92" s="58"/>
      <c r="K92" s="54"/>
      <c r="L92" s="58"/>
      <c r="M92" s="58"/>
      <c r="N92" s="54"/>
      <c r="O92" s="58"/>
      <c r="P92" s="58"/>
      <c r="U92" s="69" t="s">
        <v>344</v>
      </c>
      <c r="V92" s="80" t="s">
        <v>213</v>
      </c>
      <c r="W92" s="75">
        <f>IF($V92="","",VLOOKUP($V92,$Y$3:$AA$200,2))</f>
        <v>7</v>
      </c>
      <c r="X92" s="75" t="str">
        <f>IF($V92="","",VLOOKUP($V92,$Y$3:$AA$200,3))</f>
        <v>Continuous</v>
      </c>
      <c r="Y92" s="35" t="s">
        <v>430</v>
      </c>
      <c r="Z92" s="58">
        <v>7</v>
      </c>
      <c r="AA92" s="58" t="s">
        <v>259</v>
      </c>
    </row>
    <row r="93" spans="2:27" ht="15" customHeight="1" x14ac:dyDescent="0.25">
      <c r="B93" s="54"/>
      <c r="C93" s="58"/>
      <c r="D93" s="58"/>
      <c r="E93" s="54"/>
      <c r="F93" s="58"/>
      <c r="G93" s="58"/>
      <c r="H93" s="54"/>
      <c r="I93" s="58"/>
      <c r="J93" s="58"/>
      <c r="K93" s="54"/>
      <c r="L93" s="58"/>
      <c r="M93" s="58"/>
      <c r="N93" s="54"/>
      <c r="O93" s="58"/>
      <c r="P93" s="58"/>
      <c r="U93" s="69" t="s">
        <v>348</v>
      </c>
      <c r="V93" s="76" t="s">
        <v>426</v>
      </c>
      <c r="W93" s="75">
        <f>IF($V93="","",VLOOKUP($V93,$Y$3:$AA$200,2))</f>
        <v>7</v>
      </c>
      <c r="X93" s="75" t="str">
        <f>IF($V93="","",VLOOKUP($V93,$Y$3:$AA$200,3))</f>
        <v>Continuous</v>
      </c>
      <c r="Y93" s="35" t="s">
        <v>213</v>
      </c>
      <c r="Z93" s="58">
        <v>7</v>
      </c>
      <c r="AA93" s="58" t="s">
        <v>259</v>
      </c>
    </row>
    <row r="94" spans="2:27" ht="15" customHeight="1" x14ac:dyDescent="0.25">
      <c r="B94" s="54"/>
      <c r="C94" s="58"/>
      <c r="D94" s="58"/>
      <c r="E94" s="54"/>
      <c r="F94" s="58"/>
      <c r="G94" s="58"/>
      <c r="H94" s="54"/>
      <c r="I94" s="58"/>
      <c r="J94" s="58"/>
      <c r="K94" s="54"/>
      <c r="L94" s="58"/>
      <c r="M94" s="58"/>
      <c r="N94" s="54"/>
      <c r="O94" s="58"/>
      <c r="P94" s="58"/>
      <c r="U94" s="69" t="s">
        <v>351</v>
      </c>
      <c r="V94" s="72" t="s">
        <v>214</v>
      </c>
      <c r="W94" s="75">
        <f>IF($V94="","",VLOOKUP($V94,$Y$3:$AA$200,2))</f>
        <v>7</v>
      </c>
      <c r="X94" s="75" t="str">
        <f>IF($V94="","",VLOOKUP($V94,$Y$3:$AA$200,3))</f>
        <v>Continuous</v>
      </c>
      <c r="Y94" s="35" t="s">
        <v>428</v>
      </c>
      <c r="Z94" s="58">
        <v>7</v>
      </c>
      <c r="AA94" s="58" t="s">
        <v>259</v>
      </c>
    </row>
    <row r="95" spans="2:27" ht="15" customHeight="1" x14ac:dyDescent="0.25">
      <c r="B95" s="54"/>
      <c r="C95" s="58"/>
      <c r="D95" s="58"/>
      <c r="E95" s="54"/>
      <c r="F95" s="58"/>
      <c r="G95" s="58"/>
      <c r="H95" s="54"/>
      <c r="I95" s="58"/>
      <c r="J95" s="58"/>
      <c r="K95" s="54"/>
      <c r="L95" s="58"/>
      <c r="M95" s="58"/>
      <c r="N95" s="54"/>
      <c r="O95" s="58"/>
      <c r="P95" s="58"/>
      <c r="U95" s="69" t="s">
        <v>353</v>
      </c>
      <c r="V95" s="72" t="s">
        <v>214</v>
      </c>
      <c r="W95" s="75">
        <f>IF($V95="","",VLOOKUP($V95,$Y$3:$AA$200,2))</f>
        <v>7</v>
      </c>
      <c r="X95" s="75" t="str">
        <f>IF($V95="","",VLOOKUP($V95,$Y$3:$AA$200,3))</f>
        <v>Continuous</v>
      </c>
      <c r="Y95" s="79" t="s">
        <v>427</v>
      </c>
      <c r="Z95" s="58">
        <v>7</v>
      </c>
      <c r="AA95" s="58" t="s">
        <v>259</v>
      </c>
    </row>
    <row r="96" spans="2:27" ht="15" customHeight="1" x14ac:dyDescent="0.25">
      <c r="B96" s="54"/>
      <c r="C96" s="58"/>
      <c r="D96" s="58"/>
      <c r="E96" s="54"/>
      <c r="F96" s="58"/>
      <c r="G96" s="58"/>
      <c r="H96" s="54"/>
      <c r="I96" s="58"/>
      <c r="J96" s="58"/>
      <c r="K96" s="54"/>
      <c r="L96" s="58"/>
      <c r="M96" s="58"/>
      <c r="N96" s="54"/>
      <c r="O96" s="58"/>
      <c r="P96" s="58"/>
      <c r="U96" s="69" t="s">
        <v>355</v>
      </c>
      <c r="V96" s="76" t="s">
        <v>426</v>
      </c>
      <c r="W96" s="75">
        <f>IF($V96="","",VLOOKUP($V96,$Y$3:$AA$200,2))</f>
        <v>7</v>
      </c>
      <c r="X96" s="75" t="str">
        <f>IF($V96="","",VLOOKUP($V96,$Y$3:$AA$200,3))</f>
        <v>Continuous</v>
      </c>
      <c r="Y96" s="35" t="s">
        <v>429</v>
      </c>
      <c r="Z96" s="58">
        <v>7</v>
      </c>
      <c r="AA96" s="58" t="s">
        <v>259</v>
      </c>
    </row>
    <row r="97" spans="2:27" ht="15" customHeight="1" x14ac:dyDescent="0.25">
      <c r="B97" s="54"/>
      <c r="C97" s="58"/>
      <c r="D97" s="58"/>
      <c r="E97" s="54"/>
      <c r="F97" s="58"/>
      <c r="G97" s="58"/>
      <c r="H97" s="54"/>
      <c r="I97" s="58"/>
      <c r="J97" s="58"/>
      <c r="K97" s="54"/>
      <c r="L97" s="58"/>
      <c r="M97" s="58"/>
      <c r="N97" s="54"/>
      <c r="O97" s="58"/>
      <c r="P97" s="58"/>
      <c r="U97" s="69" t="s">
        <v>356</v>
      </c>
      <c r="V97" s="76" t="s">
        <v>426</v>
      </c>
      <c r="W97" s="75">
        <f>IF($V97="","",VLOOKUP($V97,$Y$3:$AA$200,2))</f>
        <v>7</v>
      </c>
      <c r="X97" s="75" t="str">
        <f>IF($V97="","",VLOOKUP($V97,$Y$3:$AA$200,3))</f>
        <v>Continuous</v>
      </c>
      <c r="Y97" s="35" t="s">
        <v>133</v>
      </c>
      <c r="Z97" s="58">
        <v>30</v>
      </c>
      <c r="AA97" s="58" t="s">
        <v>256</v>
      </c>
    </row>
    <row r="98" spans="2:27" ht="15" customHeight="1" x14ac:dyDescent="0.25">
      <c r="B98" s="54"/>
      <c r="C98" s="58"/>
      <c r="D98" s="58"/>
      <c r="E98" s="54"/>
      <c r="F98" s="58"/>
      <c r="G98" s="58"/>
      <c r="H98" s="54"/>
      <c r="I98" s="58"/>
      <c r="J98" s="58"/>
      <c r="K98" s="54"/>
      <c r="L98" s="58"/>
      <c r="M98" s="58"/>
      <c r="N98" s="54"/>
      <c r="O98" s="58"/>
      <c r="P98" s="58"/>
      <c r="U98" s="69" t="s">
        <v>358</v>
      </c>
      <c r="V98" s="76" t="s">
        <v>426</v>
      </c>
      <c r="W98" s="75">
        <f>IF($V98="","",VLOOKUP($V98,$Y$3:$AA$200,2))</f>
        <v>7</v>
      </c>
      <c r="X98" s="75" t="str">
        <f>IF($V98="","",VLOOKUP($V98,$Y$3:$AA$200,3))</f>
        <v>Continuous</v>
      </c>
      <c r="Y98" s="35" t="s">
        <v>134</v>
      </c>
      <c r="Z98" s="58">
        <v>170</v>
      </c>
      <c r="AA98" s="58" t="s">
        <v>260</v>
      </c>
    </row>
    <row r="99" spans="2:27" ht="15" customHeight="1" x14ac:dyDescent="0.25">
      <c r="B99" s="54"/>
      <c r="C99" s="58"/>
      <c r="D99" s="58"/>
      <c r="E99" s="54"/>
      <c r="F99" s="58"/>
      <c r="G99" s="58"/>
      <c r="H99" s="54"/>
      <c r="I99" s="58"/>
      <c r="J99" s="58"/>
      <c r="K99" s="54"/>
      <c r="L99" s="58"/>
      <c r="M99" s="58"/>
      <c r="N99" s="54"/>
      <c r="O99" s="58"/>
      <c r="P99" s="58"/>
      <c r="U99" s="69" t="s">
        <v>360</v>
      </c>
      <c r="V99" s="76" t="s">
        <v>426</v>
      </c>
      <c r="W99" s="75">
        <f>IF($V99="","",VLOOKUP($V99,$Y$3:$AA$200,2))</f>
        <v>7</v>
      </c>
      <c r="X99" s="75" t="str">
        <f>IF($V99="","",VLOOKUP($V99,$Y$3:$AA$200,3))</f>
        <v>Continuous</v>
      </c>
      <c r="Y99" s="35" t="s">
        <v>135</v>
      </c>
      <c r="Z99" s="58">
        <v>7</v>
      </c>
      <c r="AA99" s="58" t="s">
        <v>259</v>
      </c>
    </row>
    <row r="100" spans="2:27" ht="15" customHeight="1" x14ac:dyDescent="0.25">
      <c r="B100" s="54"/>
      <c r="C100" s="58"/>
      <c r="D100" s="58"/>
      <c r="E100" s="54"/>
      <c r="F100" s="58"/>
      <c r="G100" s="58"/>
      <c r="H100" s="54"/>
      <c r="I100" s="58"/>
      <c r="J100" s="58"/>
      <c r="K100" s="54"/>
      <c r="L100" s="58"/>
      <c r="M100" s="58"/>
      <c r="N100" s="54"/>
      <c r="O100" s="58"/>
      <c r="P100" s="58"/>
      <c r="U100" s="69" t="s">
        <v>363</v>
      </c>
      <c r="V100" s="72" t="s">
        <v>215</v>
      </c>
      <c r="W100" s="75">
        <f>IF($V100="","",VLOOKUP($V100,$Y$3:$AA$200,2))</f>
        <v>7</v>
      </c>
      <c r="X100" s="75" t="str">
        <f>IF($V100="","",VLOOKUP($V100,$Y$3:$AA$200,3))</f>
        <v>Continuous</v>
      </c>
      <c r="Y100" s="35" t="s">
        <v>192</v>
      </c>
      <c r="Z100" s="58">
        <v>14</v>
      </c>
      <c r="AA100" s="58" t="s">
        <v>259</v>
      </c>
    </row>
    <row r="101" spans="2:27" ht="15" customHeight="1" x14ac:dyDescent="0.25">
      <c r="F101" s="58"/>
      <c r="G101" s="58"/>
      <c r="U101" s="69" t="s">
        <v>364</v>
      </c>
      <c r="V101" s="72" t="s">
        <v>215</v>
      </c>
      <c r="W101" s="75">
        <f>IF($V101="","",VLOOKUP($V101,$Y$3:$AA$200,2))</f>
        <v>7</v>
      </c>
      <c r="X101" s="75" t="str">
        <f>IF($V101="","",VLOOKUP($V101,$Y$3:$AA$200,3))</f>
        <v>Continuous</v>
      </c>
      <c r="Y101" s="35" t="s">
        <v>136</v>
      </c>
      <c r="Z101" s="58">
        <v>34</v>
      </c>
      <c r="AA101" s="58" t="s">
        <v>259</v>
      </c>
    </row>
    <row r="102" spans="2:27" ht="15" customHeight="1" x14ac:dyDescent="0.25">
      <c r="U102" s="69" t="s">
        <v>448</v>
      </c>
      <c r="V102" s="71" t="s">
        <v>449</v>
      </c>
      <c r="W102" s="75">
        <f>IF($V102="","",VLOOKUP($V102,$Y$3:$AA$200,2))</f>
        <v>150</v>
      </c>
      <c r="X102" s="75" t="str">
        <f>IF($V102="","",VLOOKUP($V102,$Y$3:$AA$200,3))</f>
        <v>EP</v>
      </c>
      <c r="Y102" s="35" t="s">
        <v>137</v>
      </c>
      <c r="Z102" s="58">
        <v>7</v>
      </c>
      <c r="AA102" s="58" t="s">
        <v>256</v>
      </c>
    </row>
    <row r="103" spans="2:27" ht="15" customHeight="1" x14ac:dyDescent="0.25">
      <c r="U103" s="69" t="s">
        <v>188</v>
      </c>
      <c r="V103" s="69" t="s">
        <v>449</v>
      </c>
      <c r="W103" s="75">
        <f>IF($V103="","",VLOOKUP($V103,$Y$3:$AA$200,2))</f>
        <v>150</v>
      </c>
      <c r="X103" s="75" t="str">
        <f>IF($V103="","",VLOOKUP($V103,$Y$3:$AA$200,3))</f>
        <v>EP</v>
      </c>
      <c r="Y103" s="35" t="s">
        <v>138</v>
      </c>
      <c r="Z103" s="58">
        <v>102</v>
      </c>
      <c r="AA103" s="58" t="s">
        <v>257</v>
      </c>
    </row>
    <row r="104" spans="2:27" ht="15" customHeight="1" x14ac:dyDescent="0.25">
      <c r="U104" s="69" t="s">
        <v>366</v>
      </c>
      <c r="V104" s="76" t="s">
        <v>426</v>
      </c>
      <c r="W104" s="75">
        <f>IF($V104="","",VLOOKUP($V104,$Y$3:$AA$200,2))</f>
        <v>7</v>
      </c>
      <c r="X104" s="75" t="str">
        <f>IF($V104="","",VLOOKUP($V104,$Y$3:$AA$200,3))</f>
        <v>Continuous</v>
      </c>
      <c r="Y104" s="35" t="s">
        <v>139</v>
      </c>
      <c r="Z104" s="58">
        <v>210</v>
      </c>
      <c r="AA104" s="58" t="s">
        <v>259</v>
      </c>
    </row>
    <row r="105" spans="2:27" ht="15" customHeight="1" x14ac:dyDescent="0.25">
      <c r="U105" s="69" t="s">
        <v>131</v>
      </c>
      <c r="V105" s="69" t="s">
        <v>131</v>
      </c>
      <c r="W105" s="75">
        <f>IF($V105="","",VLOOKUP($V105,$Y$3:$AA$200,2))</f>
        <v>62</v>
      </c>
      <c r="X105" s="75" t="str">
        <f>IF($V105="","",VLOOKUP($V105,$Y$3:$AA$200,3))</f>
        <v>Continuous</v>
      </c>
      <c r="Y105" s="35" t="s">
        <v>140</v>
      </c>
      <c r="Z105" s="58">
        <v>50</v>
      </c>
      <c r="AA105" s="58" t="s">
        <v>259</v>
      </c>
    </row>
    <row r="106" spans="2:27" ht="15" customHeight="1" x14ac:dyDescent="0.25">
      <c r="U106" s="69" t="s">
        <v>376</v>
      </c>
      <c r="V106" s="72" t="s">
        <v>175</v>
      </c>
      <c r="W106" s="75">
        <f>IF($V106="","",VLOOKUP($V106,$Y$3:$AA$200,2))</f>
        <v>170</v>
      </c>
      <c r="X106" s="75" t="str">
        <f>IF($V106="","",VLOOKUP($V106,$Y$3:$AA$200,3))</f>
        <v>Continuous</v>
      </c>
      <c r="Y106" s="35" t="s">
        <v>141</v>
      </c>
      <c r="Z106" s="58">
        <v>92</v>
      </c>
      <c r="AA106" s="58" t="s">
        <v>259</v>
      </c>
    </row>
    <row r="107" spans="2:27" ht="15" customHeight="1" x14ac:dyDescent="0.25">
      <c r="U107" s="69" t="s">
        <v>378</v>
      </c>
      <c r="V107" s="76" t="s">
        <v>426</v>
      </c>
      <c r="W107" s="75">
        <f>IF($V107="","",VLOOKUP($V107,$Y$3:$AA$200,2))</f>
        <v>7</v>
      </c>
      <c r="X107" s="75" t="str">
        <f>IF($V107="","",VLOOKUP($V107,$Y$3:$AA$200,3))</f>
        <v>Continuous</v>
      </c>
      <c r="Y107" s="35" t="s">
        <v>142</v>
      </c>
      <c r="Z107" s="58">
        <v>10</v>
      </c>
      <c r="AA107" s="58" t="s">
        <v>257</v>
      </c>
    </row>
    <row r="108" spans="2:27" ht="15" customHeight="1" x14ac:dyDescent="0.25">
      <c r="U108" s="69" t="s">
        <v>380</v>
      </c>
      <c r="V108" s="69" t="s">
        <v>170</v>
      </c>
      <c r="W108" s="75">
        <f>IF($V108="","",VLOOKUP($V108,$Y$3:$AA$200,2))</f>
        <v>170</v>
      </c>
      <c r="X108" s="75" t="str">
        <f>IF($V108="","",VLOOKUP($V108,$Y$3:$AA$200,3))</f>
        <v>Continuous</v>
      </c>
      <c r="Y108" s="35" t="s">
        <v>143</v>
      </c>
      <c r="Z108" s="58">
        <v>7</v>
      </c>
      <c r="AA108" s="58" t="s">
        <v>259</v>
      </c>
    </row>
    <row r="109" spans="2:27" ht="15" customHeight="1" x14ac:dyDescent="0.25">
      <c r="U109" s="69" t="s">
        <v>381</v>
      </c>
      <c r="V109" s="76" t="s">
        <v>426</v>
      </c>
      <c r="W109" s="75">
        <f>IF($V109="","",VLOOKUP($V109,$Y$3:$AA$200,2))</f>
        <v>7</v>
      </c>
      <c r="X109" s="75" t="str">
        <f>IF($V109="","",VLOOKUP($V109,$Y$3:$AA$200,3))</f>
        <v>Continuous</v>
      </c>
      <c r="Y109" s="53" t="s">
        <v>178</v>
      </c>
      <c r="Z109" s="58">
        <v>170</v>
      </c>
      <c r="AA109" s="58" t="s">
        <v>255</v>
      </c>
    </row>
    <row r="110" spans="2:27" ht="15" customHeight="1" x14ac:dyDescent="0.25">
      <c r="U110" s="69" t="s">
        <v>382</v>
      </c>
      <c r="V110" s="69" t="s">
        <v>127</v>
      </c>
      <c r="W110" s="75">
        <f>IF($V110="","",VLOOKUP($V110,$Y$3:$AA$200,2))</f>
        <v>170</v>
      </c>
      <c r="X110" s="75" t="str">
        <f>IF($V110="","",VLOOKUP($V110,$Y$3:$AA$200,3))</f>
        <v>Continuous</v>
      </c>
      <c r="Y110" s="59" t="s">
        <v>426</v>
      </c>
      <c r="Z110" s="58">
        <v>7</v>
      </c>
      <c r="AA110" s="58" t="s">
        <v>259</v>
      </c>
    </row>
    <row r="111" spans="2:27" ht="15" customHeight="1" x14ac:dyDescent="0.25">
      <c r="U111" s="69" t="s">
        <v>383</v>
      </c>
      <c r="V111" s="69" t="s">
        <v>184</v>
      </c>
      <c r="W111" s="75">
        <f>IF($V111="","",VLOOKUP($V111,$Y$3:$AA$200,2))</f>
        <v>234</v>
      </c>
      <c r="X111" s="75" t="str">
        <f>IF($V111="","",VLOOKUP($V111,$Y$3:$AA$200,3))</f>
        <v>Continuous</v>
      </c>
      <c r="Y111" s="35" t="s">
        <v>144</v>
      </c>
      <c r="Z111" s="58">
        <v>7</v>
      </c>
      <c r="AA111" s="58" t="s">
        <v>259</v>
      </c>
    </row>
    <row r="112" spans="2:27" ht="15" customHeight="1" x14ac:dyDescent="0.25">
      <c r="U112" s="69" t="s">
        <v>373</v>
      </c>
      <c r="V112" s="72" t="s">
        <v>229</v>
      </c>
      <c r="W112" s="75">
        <f>IF($V112="","",VLOOKUP($V112,$Y$3:$AA$200,2))</f>
        <v>7</v>
      </c>
      <c r="X112" s="75" t="str">
        <f>IF($V112="","",VLOOKUP($V112,$Y$3:$AA$200,3))</f>
        <v>Continuous</v>
      </c>
      <c r="Y112" s="59" t="s">
        <v>145</v>
      </c>
      <c r="Z112" s="58">
        <v>210</v>
      </c>
      <c r="AA112" s="58" t="s">
        <v>259</v>
      </c>
    </row>
    <row r="113" spans="21:27" ht="15" customHeight="1" x14ac:dyDescent="0.25">
      <c r="U113" s="70" t="s">
        <v>171</v>
      </c>
      <c r="V113" s="70" t="s">
        <v>171</v>
      </c>
      <c r="W113" s="75">
        <f>IF($V113="","",VLOOKUP($V113,$Y$3:$AA$200,2))</f>
        <v>152</v>
      </c>
      <c r="X113" s="75" t="str">
        <f>IF($V113="","",VLOOKUP($V113,$Y$3:$AA$200,3))</f>
        <v>LAN</v>
      </c>
      <c r="Y113" s="35" t="s">
        <v>146</v>
      </c>
      <c r="Z113" s="58">
        <v>7</v>
      </c>
      <c r="AA113" s="58" t="s">
        <v>259</v>
      </c>
    </row>
    <row r="114" spans="21:27" ht="15" customHeight="1" x14ac:dyDescent="0.25">
      <c r="U114" s="70" t="s">
        <v>172</v>
      </c>
      <c r="V114" s="70" t="s">
        <v>172</v>
      </c>
      <c r="W114" s="75">
        <f>IF($V114="","",VLOOKUP($V114,$Y$3:$AA$200,2))</f>
        <v>40</v>
      </c>
      <c r="X114" s="75" t="str">
        <f>IF($V114="","",VLOOKUP($V114,$Y$3:$AA$200,3))</f>
        <v>TEL</v>
      </c>
      <c r="Y114" s="59" t="s">
        <v>193</v>
      </c>
      <c r="Z114" s="58">
        <v>130</v>
      </c>
      <c r="AA114" s="58" t="s">
        <v>259</v>
      </c>
    </row>
    <row r="115" spans="21:27" ht="15" customHeight="1" x14ac:dyDescent="0.25">
      <c r="U115" s="69" t="s">
        <v>385</v>
      </c>
      <c r="V115" s="72" t="s">
        <v>216</v>
      </c>
      <c r="W115" s="75">
        <f>IF($V115="","",VLOOKUP($V115,$Y$3:$AA$200,2))</f>
        <v>7</v>
      </c>
      <c r="X115" s="75" t="str">
        <f>IF($V115="","",VLOOKUP($V115,$Y$3:$AA$200,3))</f>
        <v>Continuous</v>
      </c>
      <c r="Y115" s="53" t="s">
        <v>289</v>
      </c>
      <c r="Z115" s="58">
        <v>202</v>
      </c>
      <c r="AA115" s="58" t="s">
        <v>255</v>
      </c>
    </row>
    <row r="116" spans="21:27" ht="15" customHeight="1" x14ac:dyDescent="0.25">
      <c r="U116" s="70" t="s">
        <v>173</v>
      </c>
      <c r="V116" s="70" t="s">
        <v>173</v>
      </c>
      <c r="W116" s="75">
        <f>IF($V116="","",VLOOKUP($V116,$Y$3:$AA$200,2))</f>
        <v>64</v>
      </c>
      <c r="X116" s="75" t="str">
        <f>IF($V116="","",VLOOKUP($V116,$Y$3:$AA$200,3))</f>
        <v>CY</v>
      </c>
      <c r="Y116" s="35" t="s">
        <v>207</v>
      </c>
      <c r="Z116" s="58">
        <v>84</v>
      </c>
      <c r="AA116" s="58" t="s">
        <v>259</v>
      </c>
    </row>
    <row r="117" spans="21:27" ht="15" customHeight="1" x14ac:dyDescent="0.25">
      <c r="U117" s="69" t="s">
        <v>374</v>
      </c>
      <c r="V117" s="72" t="s">
        <v>245</v>
      </c>
      <c r="W117" s="75">
        <f>IF($V117="","",VLOOKUP($V117,$Y$3:$AA$200,2))</f>
        <v>80</v>
      </c>
      <c r="X117" s="75" t="str">
        <f>IF($V117="","",VLOOKUP($V117,$Y$3:$AA$200,3))</f>
        <v>Continuous</v>
      </c>
      <c r="Y117" s="35" t="s">
        <v>147</v>
      </c>
      <c r="Z117" s="58">
        <v>7</v>
      </c>
      <c r="AA117" s="58" t="s">
        <v>259</v>
      </c>
    </row>
    <row r="118" spans="21:27" ht="15" customHeight="1" x14ac:dyDescent="0.25">
      <c r="U118" s="69" t="s">
        <v>369</v>
      </c>
      <c r="V118" s="72" t="s">
        <v>216</v>
      </c>
      <c r="W118" s="75">
        <f>IF($V118="","",VLOOKUP($V118,$Y$3:$AA$200,2))</f>
        <v>7</v>
      </c>
      <c r="X118" s="75" t="str">
        <f>IF($V118="","",VLOOKUP($V118,$Y$3:$AA$200,3))</f>
        <v>Continuous</v>
      </c>
      <c r="Y118" s="35" t="s">
        <v>148</v>
      </c>
      <c r="Z118" s="58">
        <v>7</v>
      </c>
      <c r="AA118" s="58" t="s">
        <v>259</v>
      </c>
    </row>
    <row r="119" spans="21:27" ht="15" customHeight="1" x14ac:dyDescent="0.25">
      <c r="U119" s="70" t="s">
        <v>176</v>
      </c>
      <c r="V119" s="70" t="s">
        <v>176</v>
      </c>
      <c r="W119" s="75">
        <f>IF($V119="","",VLOOKUP($V119,$Y$3:$AA$200,2))</f>
        <v>141</v>
      </c>
      <c r="X119" s="75" t="str">
        <f>IF($V119="","",VLOOKUP($V119,$Y$3:$AA$200,3))</f>
        <v>FIBRE</v>
      </c>
      <c r="Y119" s="35" t="s">
        <v>217</v>
      </c>
      <c r="Z119" s="58">
        <v>7</v>
      </c>
      <c r="AA119" s="58" t="s">
        <v>259</v>
      </c>
    </row>
    <row r="120" spans="21:27" ht="15" customHeight="1" x14ac:dyDescent="0.25">
      <c r="U120" s="69" t="s">
        <v>211</v>
      </c>
      <c r="V120" s="71" t="s">
        <v>211</v>
      </c>
      <c r="W120" s="75">
        <f>IF($V120="","",VLOOKUP($V120,$Y$3:$AA$200,2))</f>
        <v>253</v>
      </c>
      <c r="X120" s="75" t="str">
        <f>IF($V120="","",VLOOKUP($V120,$Y$3:$AA$200,3))</f>
        <v>Continuous</v>
      </c>
      <c r="Y120" s="35" t="s">
        <v>149</v>
      </c>
      <c r="Z120" s="58">
        <v>7</v>
      </c>
      <c r="AA120" s="58" t="s">
        <v>259</v>
      </c>
    </row>
    <row r="121" spans="21:27" ht="15" customHeight="1" x14ac:dyDescent="0.25">
      <c r="U121" s="69" t="s">
        <v>371</v>
      </c>
      <c r="V121" s="69" t="s">
        <v>228</v>
      </c>
      <c r="W121" s="75">
        <f>IF($V121="","",VLOOKUP($V121,$Y$3:$AA$200,2))</f>
        <v>7</v>
      </c>
      <c r="X121" s="75" t="str">
        <f>IF($V121="","",VLOOKUP($V121,$Y$3:$AA$200,3))</f>
        <v>Continuous</v>
      </c>
      <c r="Y121" s="35" t="s">
        <v>206</v>
      </c>
      <c r="Z121" s="58">
        <v>7</v>
      </c>
      <c r="AA121" s="58" t="s">
        <v>259</v>
      </c>
    </row>
    <row r="122" spans="21:27" ht="15" customHeight="1" x14ac:dyDescent="0.25">
      <c r="U122" s="69" t="s">
        <v>132</v>
      </c>
      <c r="V122" s="69" t="s">
        <v>132</v>
      </c>
      <c r="W122" s="75">
        <f>IF($V122="","",VLOOKUP($V122,$Y$3:$AA$200,2))</f>
        <v>10</v>
      </c>
      <c r="X122" s="75" t="str">
        <f>IF($V122="","",VLOOKUP($V122,$Y$3:$AA$200,3))</f>
        <v>Continuous</v>
      </c>
      <c r="Y122" s="35"/>
      <c r="Z122" s="58"/>
      <c r="AA122" s="58"/>
    </row>
    <row r="123" spans="21:27" ht="15" customHeight="1" x14ac:dyDescent="0.25">
      <c r="U123" s="70" t="s">
        <v>177</v>
      </c>
      <c r="V123" s="70" t="s">
        <v>177</v>
      </c>
      <c r="W123" s="75">
        <f>IF($V123="","",VLOOKUP($V123,$Y$3:$AA$200,2))</f>
        <v>7</v>
      </c>
      <c r="X123" s="75" t="str">
        <f>IF($V123="","",VLOOKUP($V123,$Y$3:$AA$200,3))</f>
        <v>TOR</v>
      </c>
    </row>
    <row r="124" spans="21:27" ht="15" customHeight="1" x14ac:dyDescent="0.25">
      <c r="U124" s="69" t="s">
        <v>191</v>
      </c>
      <c r="V124" s="69" t="s">
        <v>191</v>
      </c>
      <c r="W124" s="75">
        <f>IF($V124="","",VLOOKUP($V124,$Y$3:$AA$200,2))</f>
        <v>210</v>
      </c>
      <c r="X124" s="75" t="str">
        <f>IF($V124="","",VLOOKUP($V124,$Y$3:$AA$200,3))</f>
        <v>Continuous</v>
      </c>
    </row>
    <row r="125" spans="21:27" ht="15" customHeight="1" x14ac:dyDescent="0.25">
      <c r="U125" s="69" t="s">
        <v>375</v>
      </c>
      <c r="V125" s="69" t="s">
        <v>191</v>
      </c>
      <c r="W125" s="75">
        <f>IF($V125="","",VLOOKUP($V125,$Y$3:$AA$200,2))</f>
        <v>210</v>
      </c>
      <c r="X125" s="75" t="str">
        <f>IF($V125="","",VLOOKUP($V125,$Y$3:$AA$200,3))</f>
        <v>Continuous</v>
      </c>
    </row>
    <row r="126" spans="21:27" ht="15" customHeight="1" x14ac:dyDescent="0.25">
      <c r="U126" s="69" t="s">
        <v>377</v>
      </c>
      <c r="V126" s="72" t="s">
        <v>425</v>
      </c>
      <c r="W126" s="75">
        <f>IF($V126="","",VLOOKUP($V126,$Y$3:$AA$200,2))</f>
        <v>7</v>
      </c>
      <c r="X126" s="75" t="str">
        <f>IF($V126="","",VLOOKUP($V126,$Y$3:$AA$200,3))</f>
        <v>Continuous</v>
      </c>
    </row>
    <row r="127" spans="21:27" ht="15" customHeight="1" x14ac:dyDescent="0.25">
      <c r="U127" s="69" t="s">
        <v>388</v>
      </c>
      <c r="V127" s="72" t="s">
        <v>229</v>
      </c>
      <c r="W127" s="75">
        <f>IF($V127="","",VLOOKUP($V127,$Y$3:$AA$200,2))</f>
        <v>7</v>
      </c>
      <c r="X127" s="75" t="str">
        <f>IF($V127="","",VLOOKUP($V127,$Y$3:$AA$200,3))</f>
        <v>Continuous</v>
      </c>
    </row>
    <row r="128" spans="21:27" ht="15" customHeight="1" x14ac:dyDescent="0.25">
      <c r="U128" s="69" t="s">
        <v>384</v>
      </c>
      <c r="V128" s="80" t="s">
        <v>431</v>
      </c>
      <c r="W128" s="75">
        <f>IF($V128="","",VLOOKUP($V128,$Y$3:$AA$200,2))</f>
        <v>164</v>
      </c>
      <c r="X128" s="75" t="str">
        <f>IF($V128="","",VLOOKUP($V128,$Y$3:$AA$200,3))</f>
        <v>CACHE</v>
      </c>
    </row>
    <row r="129" spans="21:24" ht="15" customHeight="1" x14ac:dyDescent="0.25">
      <c r="U129" s="69" t="s">
        <v>389</v>
      </c>
      <c r="V129" s="72" t="s">
        <v>230</v>
      </c>
      <c r="W129" s="75">
        <f>IF($V129="","",VLOOKUP($V129,$Y$3:$AA$200,2))</f>
        <v>164</v>
      </c>
      <c r="X129" s="75" t="str">
        <f>IF($V129="","",VLOOKUP($V129,$Y$3:$AA$200,3))</f>
        <v>CACHE</v>
      </c>
    </row>
    <row r="130" spans="21:24" ht="15" customHeight="1" x14ac:dyDescent="0.25">
      <c r="U130" s="69" t="s">
        <v>386</v>
      </c>
      <c r="V130" s="72" t="s">
        <v>286</v>
      </c>
      <c r="W130" s="75">
        <f>IF($V130="","",VLOOKUP($V130,$Y$3:$AA$200,2))</f>
        <v>170</v>
      </c>
      <c r="X130" s="75" t="str">
        <f>IF($V130="","",VLOOKUP($V130,$Y$3:$AA$200,3))</f>
        <v>Câble de chaines</v>
      </c>
    </row>
    <row r="131" spans="21:24" ht="15" customHeight="1" x14ac:dyDescent="0.25">
      <c r="U131" s="69" t="s">
        <v>390</v>
      </c>
      <c r="V131" s="72" t="s">
        <v>231</v>
      </c>
      <c r="W131" s="75">
        <f>IF($V131="","",VLOOKUP($V131,$Y$3:$AA$200,2))</f>
        <v>164</v>
      </c>
      <c r="X131" s="75" t="str">
        <f>IF($V131="","",VLOOKUP($V131,$Y$3:$AA$200,3))</f>
        <v>CACHE</v>
      </c>
    </row>
    <row r="132" spans="21:24" ht="15" customHeight="1" x14ac:dyDescent="0.25">
      <c r="U132" s="69" t="s">
        <v>391</v>
      </c>
      <c r="V132" s="72" t="s">
        <v>242</v>
      </c>
      <c r="W132" s="75">
        <f>IF($V132="","",VLOOKUP($V132,$Y$3:$AA$200,2))</f>
        <v>7</v>
      </c>
      <c r="X132" s="75" t="str">
        <f>IF($V132="","",VLOOKUP($V132,$Y$3:$AA$200,3))</f>
        <v>Continuous</v>
      </c>
    </row>
    <row r="133" spans="21:24" ht="15" customHeight="1" x14ac:dyDescent="0.25">
      <c r="U133" s="69" t="s">
        <v>392</v>
      </c>
      <c r="V133" s="72" t="s">
        <v>430</v>
      </c>
      <c r="W133" s="75">
        <f>IF($V133="","",VLOOKUP($V133,$Y$3:$AA$200,2))</f>
        <v>7</v>
      </c>
      <c r="X133" s="75" t="str">
        <f>IF($V133="","",VLOOKUP($V133,$Y$3:$AA$200,3))</f>
        <v>Continuous</v>
      </c>
    </row>
    <row r="134" spans="21:24" ht="15" customHeight="1" x14ac:dyDescent="0.25">
      <c r="U134" s="69" t="s">
        <v>393</v>
      </c>
      <c r="V134" s="72" t="s">
        <v>232</v>
      </c>
      <c r="W134" s="75">
        <f>IF($V134="","",VLOOKUP($V134,$Y$3:$AA$200,2))</f>
        <v>34</v>
      </c>
      <c r="X134" s="75" t="str">
        <f>IF($V134="","",VLOOKUP($V134,$Y$3:$AA$200,3))</f>
        <v>CACHE2</v>
      </c>
    </row>
    <row r="135" spans="21:24" ht="15" customHeight="1" x14ac:dyDescent="0.25">
      <c r="U135" s="69" t="s">
        <v>394</v>
      </c>
      <c r="V135" s="72" t="s">
        <v>233</v>
      </c>
      <c r="W135" s="75">
        <f>IF($V135="","",VLOOKUP($V135,$Y$3:$AA$200,2))</f>
        <v>32</v>
      </c>
      <c r="X135" s="75" t="str">
        <f>IF($V135="","",VLOOKUP($V135,$Y$3:$AA$200,3))</f>
        <v>CACHE2</v>
      </c>
    </row>
    <row r="136" spans="21:24" ht="15" customHeight="1" x14ac:dyDescent="0.25">
      <c r="U136" s="69" t="s">
        <v>395</v>
      </c>
      <c r="V136" s="72" t="s">
        <v>286</v>
      </c>
      <c r="W136" s="75">
        <f>IF($V136="","",VLOOKUP($V136,$Y$3:$AA$200,2))</f>
        <v>170</v>
      </c>
      <c r="X136" s="75" t="str">
        <f>IF($V136="","",VLOOKUP($V136,$Y$3:$AA$200,3))</f>
        <v>Câble de chaines</v>
      </c>
    </row>
    <row r="137" spans="21:24" ht="15" customHeight="1" x14ac:dyDescent="0.25">
      <c r="U137" s="69" t="s">
        <v>396</v>
      </c>
      <c r="V137" s="72" t="s">
        <v>234</v>
      </c>
      <c r="W137" s="75">
        <f>IF($V137="","",VLOOKUP($V137,$Y$3:$AA$200,2))</f>
        <v>7</v>
      </c>
      <c r="X137" s="75" t="str">
        <f>IF($V137="","",VLOOKUP($V137,$Y$3:$AA$200,3))</f>
        <v>Câble de groupe</v>
      </c>
    </row>
    <row r="138" spans="21:24" ht="15" customHeight="1" x14ac:dyDescent="0.25">
      <c r="U138" s="69" t="s">
        <v>397</v>
      </c>
      <c r="V138" s="72" t="s">
        <v>235</v>
      </c>
      <c r="W138" s="75">
        <f>IF($V138="","",VLOOKUP($V138,$Y$3:$AA$200,2))</f>
        <v>30</v>
      </c>
      <c r="X138" s="75" t="str">
        <f>IF($V138="","",VLOOKUP($V138,$Y$3:$AA$200,3))</f>
        <v>CUNU</v>
      </c>
    </row>
    <row r="139" spans="21:24" ht="15" customHeight="1" x14ac:dyDescent="0.25">
      <c r="U139" s="69" t="s">
        <v>398</v>
      </c>
      <c r="V139" s="72" t="s">
        <v>236</v>
      </c>
      <c r="W139" s="75">
        <f>IF($V139="","",VLOOKUP($V139,$Y$3:$AA$200,2))</f>
        <v>102</v>
      </c>
      <c r="X139" s="75" t="str">
        <f>IF($V139="","",VLOOKUP($V139,$Y$3:$AA$200,3))</f>
        <v>VJ</v>
      </c>
    </row>
    <row r="140" spans="21:24" ht="15" customHeight="1" x14ac:dyDescent="0.25">
      <c r="U140" s="69" t="s">
        <v>399</v>
      </c>
      <c r="V140" s="72" t="s">
        <v>237</v>
      </c>
      <c r="W140" s="75">
        <f>IF($V140="","",VLOOKUP($V140,$Y$3:$AA$200,2))</f>
        <v>173</v>
      </c>
      <c r="X140" s="75" t="str">
        <f>IF($V140="","",VLOOKUP($V140,$Y$3:$AA$200,3))</f>
        <v>RS485</v>
      </c>
    </row>
    <row r="141" spans="21:24" ht="15" customHeight="1" x14ac:dyDescent="0.25">
      <c r="U141" s="69" t="s">
        <v>400</v>
      </c>
      <c r="V141" s="72" t="s">
        <v>239</v>
      </c>
      <c r="W141" s="75">
        <f>IF($V141="","",VLOOKUP($V141,$Y$3:$AA$200,2))</f>
        <v>7</v>
      </c>
      <c r="X141" s="75" t="str">
        <f>IF($V141="","",VLOOKUP($V141,$Y$3:$AA$200,3))</f>
        <v>Continuous</v>
      </c>
    </row>
    <row r="142" spans="21:24" ht="15" customHeight="1" x14ac:dyDescent="0.25">
      <c r="U142" s="69" t="s">
        <v>190</v>
      </c>
      <c r="V142" s="69" t="s">
        <v>427</v>
      </c>
      <c r="W142" s="75">
        <f>IF($V142="","",VLOOKUP($V142,$Y$3:$AA$200,2))</f>
        <v>7</v>
      </c>
      <c r="X142" s="75" t="str">
        <f>IF($V142="","",VLOOKUP($V142,$Y$3:$AA$200,3))</f>
        <v>Continuous</v>
      </c>
    </row>
    <row r="143" spans="21:24" ht="15" customHeight="1" x14ac:dyDescent="0.25">
      <c r="U143" s="69" t="s">
        <v>401</v>
      </c>
      <c r="V143" s="72" t="s">
        <v>238</v>
      </c>
      <c r="W143" s="75">
        <f>IF($V143="","",VLOOKUP($V143,$Y$3:$AA$200,2))</f>
        <v>141</v>
      </c>
      <c r="X143" s="75" t="str">
        <f>IF($V143="","",VLOOKUP($V143,$Y$3:$AA$200,3))</f>
        <v>FIBRE</v>
      </c>
    </row>
    <row r="144" spans="21:24" ht="15" customHeight="1" x14ac:dyDescent="0.25">
      <c r="U144" s="69" t="s">
        <v>402</v>
      </c>
      <c r="V144" s="69" t="s">
        <v>228</v>
      </c>
      <c r="W144" s="75">
        <f>IF($V144="","",VLOOKUP($V144,$Y$3:$AA$200,2))</f>
        <v>7</v>
      </c>
      <c r="X144" s="75" t="str">
        <f>IF($V144="","",VLOOKUP($V144,$Y$3:$AA$200,3))</f>
        <v>Continuous</v>
      </c>
    </row>
    <row r="145" spans="21:24" ht="15" customHeight="1" x14ac:dyDescent="0.25">
      <c r="U145" s="69" t="s">
        <v>387</v>
      </c>
      <c r="V145" s="69" t="s">
        <v>228</v>
      </c>
      <c r="W145" s="75">
        <f>IF($V145="","",VLOOKUP($V145,$Y$3:$AA$200,2))</f>
        <v>7</v>
      </c>
      <c r="X145" s="75" t="str">
        <f>IF($V145="","",VLOOKUP($V145,$Y$3:$AA$200,3))</f>
        <v>Continuous</v>
      </c>
    </row>
    <row r="146" spans="21:24" ht="15" customHeight="1" x14ac:dyDescent="0.25">
      <c r="U146" s="69" t="s">
        <v>379</v>
      </c>
      <c r="V146" s="72" t="s">
        <v>179</v>
      </c>
      <c r="W146" s="75">
        <f>IF($V146="","",VLOOKUP($V146,$Y$3:$AA$200,2))</f>
        <v>7</v>
      </c>
      <c r="X146" s="75" t="str">
        <f>IF($V146="","",VLOOKUP($V146,$Y$3:$AA$200,3))</f>
        <v>Continuous</v>
      </c>
    </row>
    <row r="147" spans="21:24" ht="15" customHeight="1" x14ac:dyDescent="0.25">
      <c r="U147" s="69" t="s">
        <v>403</v>
      </c>
      <c r="V147" s="72" t="s">
        <v>186</v>
      </c>
      <c r="W147" s="75">
        <f>IF($V147="","",VLOOKUP($V147,$Y$3:$AA$200,2))</f>
        <v>7</v>
      </c>
      <c r="X147" s="75" t="str">
        <f>IF($V147="","",VLOOKUP($V147,$Y$3:$AA$200,3))</f>
        <v>Continuous</v>
      </c>
    </row>
    <row r="148" spans="21:24" ht="15" customHeight="1" x14ac:dyDescent="0.25">
      <c r="U148" s="69" t="s">
        <v>133</v>
      </c>
      <c r="V148" s="69" t="s">
        <v>133</v>
      </c>
      <c r="W148" s="75">
        <f>IF($V148="","",VLOOKUP($V148,$Y$3:$AA$200,2))</f>
        <v>30</v>
      </c>
      <c r="X148" s="75" t="str">
        <f>IF($V148="","",VLOOKUP($V148,$Y$3:$AA$200,3))</f>
        <v>CACHE</v>
      </c>
    </row>
    <row r="149" spans="21:24" ht="15" customHeight="1" x14ac:dyDescent="0.25">
      <c r="U149" s="69" t="s">
        <v>135</v>
      </c>
      <c r="V149" s="69" t="s">
        <v>135</v>
      </c>
      <c r="W149" s="75">
        <f>IF($V149="","",VLOOKUP($V149,$Y$3:$AA$200,2))</f>
        <v>7</v>
      </c>
      <c r="X149" s="75" t="str">
        <f>IF($V149="","",VLOOKUP($V149,$Y$3:$AA$200,3))</f>
        <v>Continuous</v>
      </c>
    </row>
    <row r="150" spans="21:24" ht="15" customHeight="1" x14ac:dyDescent="0.25">
      <c r="U150" s="69" t="s">
        <v>192</v>
      </c>
      <c r="V150" s="69" t="s">
        <v>192</v>
      </c>
      <c r="W150" s="75">
        <f>IF($V150="","",VLOOKUP($V150,$Y$3:$AA$200,2))</f>
        <v>14</v>
      </c>
      <c r="X150" s="75" t="str">
        <f>IF($V150="","",VLOOKUP($V150,$Y$3:$AA$200,3))</f>
        <v>Continuous</v>
      </c>
    </row>
    <row r="151" spans="21:24" ht="15" customHeight="1" x14ac:dyDescent="0.25">
      <c r="U151" s="69" t="s">
        <v>136</v>
      </c>
      <c r="V151" s="69" t="s">
        <v>136</v>
      </c>
      <c r="W151" s="75">
        <f>IF($V151="","",VLOOKUP($V151,$Y$3:$AA$200,2))</f>
        <v>34</v>
      </c>
      <c r="X151" s="75" t="str">
        <f>IF($V151="","",VLOOKUP($V151,$Y$3:$AA$200,3))</f>
        <v>Continuous</v>
      </c>
    </row>
    <row r="152" spans="21:24" ht="15" customHeight="1" x14ac:dyDescent="0.25">
      <c r="U152" s="69" t="s">
        <v>137</v>
      </c>
      <c r="V152" s="69" t="s">
        <v>137</v>
      </c>
      <c r="W152" s="75">
        <f>IF($V152="","",VLOOKUP($V152,$Y$3:$AA$200,2))</f>
        <v>7</v>
      </c>
      <c r="X152" s="75" t="str">
        <f>IF($V152="","",VLOOKUP($V152,$Y$3:$AA$200,3))</f>
        <v>CACHE</v>
      </c>
    </row>
    <row r="153" spans="21:24" ht="15" customHeight="1" x14ac:dyDescent="0.25">
      <c r="U153" s="69" t="s">
        <v>138</v>
      </c>
      <c r="V153" s="69" t="s">
        <v>138</v>
      </c>
      <c r="W153" s="75">
        <f>IF($V153="","",VLOOKUP($V153,$Y$3:$AA$200,2))</f>
        <v>102</v>
      </c>
      <c r="X153" s="75" t="str">
        <f>IF($V153="","",VLOOKUP($V153,$Y$3:$AA$200,3))</f>
        <v>CACHE2</v>
      </c>
    </row>
    <row r="154" spans="21:24" ht="15" customHeight="1" x14ac:dyDescent="0.25">
      <c r="U154" s="69" t="s">
        <v>139</v>
      </c>
      <c r="V154" s="69" t="s">
        <v>139</v>
      </c>
      <c r="W154" s="75">
        <f>IF($V154="","",VLOOKUP($V154,$Y$3:$AA$200,2))</f>
        <v>210</v>
      </c>
      <c r="X154" s="75" t="str">
        <f>IF($V154="","",VLOOKUP($V154,$Y$3:$AA$200,3))</f>
        <v>Continuous</v>
      </c>
    </row>
    <row r="155" spans="21:24" ht="15" customHeight="1" x14ac:dyDescent="0.25">
      <c r="U155" s="69" t="s">
        <v>140</v>
      </c>
      <c r="V155" s="69" t="s">
        <v>140</v>
      </c>
      <c r="W155" s="75">
        <f>IF($V155="","",VLOOKUP($V155,$Y$3:$AA$200,2))</f>
        <v>50</v>
      </c>
      <c r="X155" s="75" t="str">
        <f>IF($V155="","",VLOOKUP($V155,$Y$3:$AA$200,3))</f>
        <v>Continuous</v>
      </c>
    </row>
    <row r="156" spans="21:24" ht="15" customHeight="1" x14ac:dyDescent="0.25">
      <c r="U156" s="69" t="s">
        <v>141</v>
      </c>
      <c r="V156" s="69" t="s">
        <v>141</v>
      </c>
      <c r="W156" s="75">
        <f>IF($V156="","",VLOOKUP($V156,$Y$3:$AA$200,2))</f>
        <v>92</v>
      </c>
      <c r="X156" s="75" t="str">
        <f>IF($V156="","",VLOOKUP($V156,$Y$3:$AA$200,3))</f>
        <v>Continuous</v>
      </c>
    </row>
    <row r="157" spans="21:24" ht="15" customHeight="1" x14ac:dyDescent="0.25">
      <c r="U157" s="69" t="s">
        <v>142</v>
      </c>
      <c r="V157" s="69" t="s">
        <v>142</v>
      </c>
      <c r="W157" s="75">
        <f>IF($V157="","",VLOOKUP($V157,$Y$3:$AA$200,2))</f>
        <v>10</v>
      </c>
      <c r="X157" s="75" t="str">
        <f>IF($V157="","",VLOOKUP($V157,$Y$3:$AA$200,3))</f>
        <v>CACHE2</v>
      </c>
    </row>
    <row r="158" spans="21:24" ht="15" customHeight="1" x14ac:dyDescent="0.25">
      <c r="U158" s="69" t="s">
        <v>143</v>
      </c>
      <c r="V158" s="69" t="s">
        <v>143</v>
      </c>
      <c r="W158" s="75">
        <f>IF($V158="","",VLOOKUP($V158,$Y$3:$AA$200,2))</f>
        <v>7</v>
      </c>
      <c r="X158" s="75" t="str">
        <f>IF($V158="","",VLOOKUP($V158,$Y$3:$AA$200,3))</f>
        <v>Continuous</v>
      </c>
    </row>
    <row r="159" spans="21:24" ht="15" customHeight="1" x14ac:dyDescent="0.25">
      <c r="U159" s="70" t="s">
        <v>178</v>
      </c>
      <c r="V159" s="70" t="s">
        <v>178</v>
      </c>
      <c r="W159" s="75">
        <f>IF($V159="","",VLOOKUP($V159,$Y$3:$AA$200,2))</f>
        <v>170</v>
      </c>
      <c r="X159" s="75" t="str">
        <f>IF($V159="","",VLOOKUP($V159,$Y$3:$AA$200,3))</f>
        <v>AXES2</v>
      </c>
    </row>
    <row r="160" spans="21:24" ht="15" customHeight="1" x14ac:dyDescent="0.25">
      <c r="U160" s="69" t="s">
        <v>144</v>
      </c>
      <c r="V160" s="69" t="s">
        <v>144</v>
      </c>
      <c r="W160" s="75">
        <f>IF($V160="","",VLOOKUP($V160,$Y$3:$AA$200,2))</f>
        <v>7</v>
      </c>
      <c r="X160" s="75" t="str">
        <f>IF($V160="","",VLOOKUP($V160,$Y$3:$AA$200,3))</f>
        <v>Continuous</v>
      </c>
    </row>
    <row r="161" spans="21:24" ht="15" customHeight="1" x14ac:dyDescent="0.25">
      <c r="U161" s="70" t="s">
        <v>145</v>
      </c>
      <c r="V161" s="70" t="s">
        <v>145</v>
      </c>
      <c r="W161" s="75">
        <f>IF($V161="","",VLOOKUP($V161,$Y$3:$AA$200,2))</f>
        <v>210</v>
      </c>
      <c r="X161" s="75" t="str">
        <f>IF($V161="","",VLOOKUP($V161,$Y$3:$AA$200,3))</f>
        <v>Continuous</v>
      </c>
    </row>
    <row r="162" spans="21:24" ht="15" customHeight="1" x14ac:dyDescent="0.25">
      <c r="U162" s="70" t="s">
        <v>146</v>
      </c>
      <c r="V162" s="70" t="s">
        <v>146</v>
      </c>
      <c r="W162" s="75">
        <f>IF($V162="","",VLOOKUP($V162,$Y$3:$AA$200,2))</f>
        <v>7</v>
      </c>
      <c r="X162" s="75" t="str">
        <f>IF($V162="","",VLOOKUP($V162,$Y$3:$AA$200,3))</f>
        <v>Continuous</v>
      </c>
    </row>
    <row r="163" spans="21:24" ht="15" customHeight="1" x14ac:dyDescent="0.25">
      <c r="U163" s="69" t="s">
        <v>406</v>
      </c>
      <c r="V163" s="69" t="s">
        <v>406</v>
      </c>
      <c r="W163" s="75">
        <f>IF($V163="","",VLOOKUP($V163,$Y$3:$AA$200,2))</f>
        <v>7</v>
      </c>
      <c r="X163" s="75" t="str">
        <f>IF($V163="","",VLOOKUP($V163,$Y$3:$AA$200,3))</f>
        <v>Continuous</v>
      </c>
    </row>
    <row r="164" spans="21:24" ht="15" customHeight="1" x14ac:dyDescent="0.25">
      <c r="U164" s="77" t="s">
        <v>193</v>
      </c>
      <c r="V164" s="77" t="s">
        <v>193</v>
      </c>
      <c r="W164" s="75">
        <f>IF($V164="","",VLOOKUP($V164,$Y$3:$AA$200,2))</f>
        <v>130</v>
      </c>
      <c r="X164" s="75" t="str">
        <f>IF($V164="","",VLOOKUP($V164,$Y$3:$AA$200,3))</f>
        <v>Continuous</v>
      </c>
    </row>
    <row r="165" spans="21:24" ht="15" customHeight="1" x14ac:dyDescent="0.25">
      <c r="U165" s="70" t="s">
        <v>147</v>
      </c>
      <c r="V165" s="70" t="s">
        <v>147</v>
      </c>
      <c r="W165" s="75">
        <f>IF($V165="","",VLOOKUP($V165,$Y$3:$AA$200,2))</f>
        <v>7</v>
      </c>
      <c r="X165" s="75" t="str">
        <f>IF($V165="","",VLOOKUP($V165,$Y$3:$AA$200,3))</f>
        <v>Continuous</v>
      </c>
    </row>
    <row r="166" spans="21:24" ht="15" customHeight="1" x14ac:dyDescent="0.25">
      <c r="U166" s="77" t="s">
        <v>404</v>
      </c>
      <c r="V166" s="77" t="s">
        <v>193</v>
      </c>
      <c r="W166" s="75">
        <f>IF($V166="","",VLOOKUP($V166,$Y$3:$AA$200,2))</f>
        <v>130</v>
      </c>
      <c r="X166" s="75" t="str">
        <f>IF($V166="","",VLOOKUP($V166,$Y$3:$AA$200,3))</f>
        <v>Continuous</v>
      </c>
    </row>
    <row r="167" spans="21:24" ht="15" customHeight="1" x14ac:dyDescent="0.25">
      <c r="U167" s="69" t="s">
        <v>148</v>
      </c>
      <c r="V167" s="69" t="s">
        <v>148</v>
      </c>
      <c r="W167" s="75">
        <f>IF($V167="","",VLOOKUP($V167,$Y$3:$AA$200,2))</f>
        <v>7</v>
      </c>
      <c r="X167" s="75" t="str">
        <f>IF($V167="","",VLOOKUP($V167,$Y$3:$AA$200,3))</f>
        <v>Continuous</v>
      </c>
    </row>
    <row r="168" spans="21:24" ht="15" customHeight="1" x14ac:dyDescent="0.25">
      <c r="U168" s="69" t="s">
        <v>149</v>
      </c>
      <c r="V168" s="69" t="s">
        <v>149</v>
      </c>
      <c r="W168" s="75">
        <f>IF($V168="","",VLOOKUP($V168,$Y$3:$AA$200,2))</f>
        <v>7</v>
      </c>
      <c r="X168" s="75" t="str">
        <f>IF($V168="","",VLOOKUP($V168,$Y$3:$AA$200,3))</f>
        <v>Continuous</v>
      </c>
    </row>
    <row r="169" spans="21:24" ht="15" customHeight="1" x14ac:dyDescent="0.25">
      <c r="U169" s="70" t="s">
        <v>332</v>
      </c>
      <c r="V169" s="72" t="s">
        <v>288</v>
      </c>
      <c r="W169" s="75">
        <f>IF($V169="","",VLOOKUP($V169,$Y$3:$AA$200,2))</f>
        <v>152</v>
      </c>
      <c r="X169" s="75" t="str">
        <f>IF($V169="","",VLOOKUP($V169,$Y$3:$AA$200,3))</f>
        <v>ETHERNET</v>
      </c>
    </row>
    <row r="170" spans="21:24" ht="15" customHeight="1" x14ac:dyDescent="0.25">
      <c r="U170" s="70" t="s">
        <v>336</v>
      </c>
      <c r="V170" s="72" t="s">
        <v>172</v>
      </c>
      <c r="W170" s="75">
        <f>IF($V170="","",VLOOKUP($V170,$Y$3:$AA$200,2))</f>
        <v>40</v>
      </c>
      <c r="X170" s="75" t="str">
        <f>IF($V170="","",VLOOKUP($V170,$Y$3:$AA$200,3))</f>
        <v>TEL</v>
      </c>
    </row>
    <row r="171" spans="21:24" ht="15" customHeight="1" x14ac:dyDescent="0.25">
      <c r="U171" s="70" t="s">
        <v>182</v>
      </c>
      <c r="V171" s="70" t="s">
        <v>178</v>
      </c>
      <c r="W171" s="75">
        <f>IF($V171="","",VLOOKUP($V171,$Y$3:$AA$200,2))</f>
        <v>170</v>
      </c>
      <c r="X171" s="75" t="str">
        <f>IF($V171="","",VLOOKUP($V171,$Y$3:$AA$200,3))</f>
        <v>AXES2</v>
      </c>
    </row>
    <row r="172" spans="21:24" ht="15" customHeight="1" x14ac:dyDescent="0.25">
      <c r="U172" s="70" t="s">
        <v>183</v>
      </c>
      <c r="V172" s="72" t="s">
        <v>169</v>
      </c>
      <c r="W172" s="75">
        <f>IF($V172="","",VLOOKUP($V172,$Y$3:$AA$200,2))</f>
        <v>7</v>
      </c>
      <c r="X172" s="75" t="str">
        <f>IF($V172="","",VLOOKUP($V172,$Y$3:$AA$200,3))</f>
        <v>Continuous</v>
      </c>
    </row>
    <row r="173" spans="21:24" ht="15" customHeight="1" x14ac:dyDescent="0.25">
      <c r="U173" s="70" t="s">
        <v>343</v>
      </c>
      <c r="V173" s="72" t="s">
        <v>176</v>
      </c>
      <c r="W173" s="75">
        <f>IF($V173="","",VLOOKUP($V173,$Y$3:$AA$200,2))</f>
        <v>141</v>
      </c>
      <c r="X173" s="75" t="str">
        <f>IF($V173="","",VLOOKUP($V173,$Y$3:$AA$200,3))</f>
        <v>FIBRE</v>
      </c>
    </row>
    <row r="174" spans="21:24" ht="15" customHeight="1" x14ac:dyDescent="0.25">
      <c r="U174" s="69" t="s">
        <v>405</v>
      </c>
      <c r="V174" s="70" t="s">
        <v>146</v>
      </c>
      <c r="W174" s="75">
        <f>IF($V174="","",VLOOKUP($V174,$Y$3:$AA$200,2))</f>
        <v>7</v>
      </c>
      <c r="X174" s="75" t="str">
        <f>IF($V174="","",VLOOKUP($V174,$Y$3:$AA$200,3))</f>
        <v>Continuous</v>
      </c>
    </row>
    <row r="175" spans="21:24" ht="15" customHeight="1" x14ac:dyDescent="0.25">
      <c r="U175" s="70" t="s">
        <v>347</v>
      </c>
      <c r="V175" s="72" t="s">
        <v>289</v>
      </c>
      <c r="W175" s="75">
        <f>IF($V175="","",VLOOKUP($V175,$Y$3:$AA$200,2))</f>
        <v>202</v>
      </c>
      <c r="X175" s="75" t="str">
        <f>IF($V175="","",VLOOKUP($V175,$Y$3:$AA$200,3))</f>
        <v>AXES2</v>
      </c>
    </row>
    <row r="176" spans="21:24" ht="15" customHeight="1" x14ac:dyDescent="0.25">
      <c r="U176" s="70" t="s">
        <v>350</v>
      </c>
      <c r="V176" s="72" t="s">
        <v>290</v>
      </c>
      <c r="W176" s="75">
        <f>IF($V176="","",VLOOKUP($V176,$Y$3:$AA$200,2))</f>
        <v>64</v>
      </c>
      <c r="X176" s="75" t="str">
        <f>IF($V176="","",VLOOKUP($V176,$Y$3:$AA$200,3))</f>
        <v>RS485</v>
      </c>
    </row>
    <row r="177" spans="21:24" ht="15" customHeight="1" x14ac:dyDescent="0.25">
      <c r="U177" s="69"/>
      <c r="V177" s="71"/>
      <c r="W177" s="75" t="str">
        <f>IF($V177="","",VLOOKUP($V177,$Y$3:$AA$200,2))</f>
        <v/>
      </c>
      <c r="X177" s="75" t="str">
        <f>IF($V177="","",VLOOKUP($V177,$Y$3:$AA$200,3))</f>
        <v/>
      </c>
    </row>
    <row r="178" spans="21:24" ht="15" customHeight="1" x14ac:dyDescent="0.25">
      <c r="U178" s="69"/>
      <c r="V178" s="71"/>
      <c r="W178" s="75" t="str">
        <f>IF($V178="","",VLOOKUP($V178,$Y$3:$AA$200,2))</f>
        <v/>
      </c>
      <c r="X178" s="75" t="str">
        <f>IF($V178="","",VLOOKUP($V178,$Y$3:$AA$200,3))</f>
        <v/>
      </c>
    </row>
    <row r="179" spans="21:24" ht="15" customHeight="1" x14ac:dyDescent="0.25">
      <c r="U179" s="69"/>
      <c r="V179" s="71"/>
      <c r="W179" s="75" t="str">
        <f>IF($V179="","",VLOOKUP($V179,$Y$3:$AA$200,2))</f>
        <v/>
      </c>
      <c r="X179" s="75" t="str">
        <f>IF($V179="","",VLOOKUP($V179,$Y$3:$AA$200,3))</f>
        <v/>
      </c>
    </row>
    <row r="180" spans="21:24" ht="15" customHeight="1" x14ac:dyDescent="0.25">
      <c r="U180" s="69"/>
      <c r="V180" s="71"/>
      <c r="W180" s="75" t="str">
        <f>IF($V180="","",VLOOKUP($V180,$Y$3:$AA$200,2))</f>
        <v/>
      </c>
      <c r="X180" s="75" t="str">
        <f>IF($V180="","",VLOOKUP($V180,$Y$3:$AA$200,3))</f>
        <v/>
      </c>
    </row>
    <row r="181" spans="21:24" ht="15" customHeight="1" x14ac:dyDescent="0.25">
      <c r="U181" s="69"/>
      <c r="V181" s="71"/>
      <c r="W181" s="75" t="str">
        <f>IF($V181="","",VLOOKUP($V181,$Y$3:$AA$200,2))</f>
        <v/>
      </c>
      <c r="X181" s="75" t="str">
        <f>IF($V181="","",VLOOKUP($V181,$Y$3:$AA$200,3))</f>
        <v/>
      </c>
    </row>
    <row r="182" spans="21:24" ht="15" customHeight="1" x14ac:dyDescent="0.25">
      <c r="U182" s="69"/>
      <c r="V182" s="71"/>
      <c r="W182" s="75" t="str">
        <f>IF($V182="","",VLOOKUP($V182,$Y$3:$AA$200,2))</f>
        <v/>
      </c>
      <c r="X182" s="75" t="str">
        <f>IF($V182="","",VLOOKUP($V182,$Y$3:$AA$200,3))</f>
        <v/>
      </c>
    </row>
    <row r="183" spans="21:24" ht="15" customHeight="1" x14ac:dyDescent="0.25">
      <c r="U183" s="69"/>
      <c r="V183" s="71"/>
      <c r="W183" s="75" t="str">
        <f>IF($V183="","",VLOOKUP($V183,$Y$3:$AA$200,2))</f>
        <v/>
      </c>
      <c r="X183" s="75" t="str">
        <f>IF($V183="","",VLOOKUP($V183,$Y$3:$AA$200,3))</f>
        <v/>
      </c>
    </row>
    <row r="184" spans="21:24" ht="15" customHeight="1" x14ac:dyDescent="0.25">
      <c r="U184" s="69"/>
      <c r="V184" s="71"/>
      <c r="W184" s="75" t="str">
        <f>IF($V184="","",VLOOKUP($V184,$Y$3:$AA$200,2))</f>
        <v/>
      </c>
      <c r="X184" s="75" t="str">
        <f>IF($V184="","",VLOOKUP($V184,$Y$3:$AA$200,3))</f>
        <v/>
      </c>
    </row>
    <row r="185" spans="21:24" ht="15" customHeight="1" x14ac:dyDescent="0.25">
      <c r="U185" s="69"/>
      <c r="V185" s="71"/>
      <c r="W185" s="75" t="str">
        <f>IF($V185="","",VLOOKUP($V185,$Y$3:$AA$200,2))</f>
        <v/>
      </c>
      <c r="X185" s="75" t="str">
        <f>IF($V185="","",VLOOKUP($V185,$Y$3:$AA$200,3))</f>
        <v/>
      </c>
    </row>
    <row r="186" spans="21:24" ht="15" customHeight="1" x14ac:dyDescent="0.25">
      <c r="U186" s="69"/>
      <c r="V186" s="71"/>
      <c r="W186" s="75" t="str">
        <f>IF($V186="","",VLOOKUP($V186,$Y$3:$AA$200,2))</f>
        <v/>
      </c>
      <c r="X186" s="75" t="str">
        <f>IF($V186="","",VLOOKUP($V186,$Y$3:$AA$200,3))</f>
        <v/>
      </c>
    </row>
    <row r="187" spans="21:24" ht="15" customHeight="1" x14ac:dyDescent="0.25">
      <c r="U187" s="69"/>
      <c r="V187" s="71"/>
      <c r="W187" s="75" t="str">
        <f>IF($V187="","",VLOOKUP($V187,$Y$3:$AA$200,2))</f>
        <v/>
      </c>
      <c r="X187" s="75" t="str">
        <f>IF($V187="","",VLOOKUP($V187,$Y$3:$AA$200,3))</f>
        <v/>
      </c>
    </row>
    <row r="188" spans="21:24" ht="15" customHeight="1" x14ac:dyDescent="0.25">
      <c r="U188" s="69"/>
      <c r="V188" s="71"/>
      <c r="W188" s="75" t="str">
        <f>IF($V188="","",VLOOKUP($V188,$Y$3:$AA$200,2))</f>
        <v/>
      </c>
      <c r="X188" s="75" t="str">
        <f>IF($V188="","",VLOOKUP($V188,$Y$3:$AA$200,3))</f>
        <v/>
      </c>
    </row>
    <row r="189" spans="21:24" ht="15" customHeight="1" x14ac:dyDescent="0.25">
      <c r="U189" s="69"/>
      <c r="V189" s="71"/>
      <c r="W189" s="75" t="str">
        <f>IF($V189="","",VLOOKUP($V189,$Y$3:$AA$200,2))</f>
        <v/>
      </c>
      <c r="X189" s="75" t="str">
        <f>IF($V189="","",VLOOKUP($V189,$Y$3:$AA$200,3))</f>
        <v/>
      </c>
    </row>
    <row r="190" spans="21:24" ht="15" customHeight="1" x14ac:dyDescent="0.25">
      <c r="U190" s="69"/>
      <c r="V190" s="71"/>
      <c r="W190" s="75" t="str">
        <f>IF($V190="","",VLOOKUP($V190,$Y$3:$AA$200,2))</f>
        <v/>
      </c>
      <c r="X190" s="75" t="str">
        <f>IF($V190="","",VLOOKUP($V190,$Y$3:$AA$200,3))</f>
        <v/>
      </c>
    </row>
    <row r="191" spans="21:24" ht="15" customHeight="1" x14ac:dyDescent="0.25">
      <c r="U191" s="69"/>
      <c r="V191" s="71"/>
      <c r="W191" s="75" t="str">
        <f>IF($V191="","",VLOOKUP($V191,$Y$3:$AA$200,2))</f>
        <v/>
      </c>
      <c r="X191" s="75" t="str">
        <f>IF($V191="","",VLOOKUP($V191,$Y$3:$AA$200,3))</f>
        <v/>
      </c>
    </row>
    <row r="192" spans="21:24" ht="15" customHeight="1" x14ac:dyDescent="0.25">
      <c r="U192" s="69"/>
      <c r="V192" s="71"/>
      <c r="W192" s="75" t="str">
        <f>IF($V192="","",VLOOKUP($V192,$Y$3:$AA$200,2))</f>
        <v/>
      </c>
      <c r="X192" s="75" t="str">
        <f>IF($V192="","",VLOOKUP($V192,$Y$3:$AA$200,3))</f>
        <v/>
      </c>
    </row>
    <row r="193" spans="21:24" ht="15" customHeight="1" x14ac:dyDescent="0.25">
      <c r="U193" s="69"/>
      <c r="V193" s="71"/>
      <c r="W193" s="75" t="str">
        <f>IF($V193="","",VLOOKUP($V193,$Y$3:$AA$200,2))</f>
        <v/>
      </c>
      <c r="X193" s="75" t="str">
        <f>IF($V193="","",VLOOKUP($V193,$Y$3:$AA$200,3))</f>
        <v/>
      </c>
    </row>
    <row r="194" spans="21:24" ht="15" customHeight="1" x14ac:dyDescent="0.25">
      <c r="U194" s="69"/>
      <c r="V194" s="71"/>
      <c r="W194" s="75" t="str">
        <f>IF($V194="","",VLOOKUP($V194,$Y$3:$AA$200,2))</f>
        <v/>
      </c>
      <c r="X194" s="75" t="str">
        <f>IF($V194="","",VLOOKUP($V194,$Y$3:$AA$200,3))</f>
        <v/>
      </c>
    </row>
    <row r="195" spans="21:24" ht="15" customHeight="1" x14ac:dyDescent="0.25">
      <c r="U195" s="69"/>
      <c r="V195" s="71"/>
      <c r="W195" s="75" t="str">
        <f>IF($V195="","",VLOOKUP($V195,$Y$3:$AA$200,2))</f>
        <v/>
      </c>
      <c r="X195" s="75" t="str">
        <f>IF($V195="","",VLOOKUP($V195,$Y$3:$AA$200,3))</f>
        <v/>
      </c>
    </row>
    <row r="196" spans="21:24" ht="15" customHeight="1" x14ac:dyDescent="0.25">
      <c r="U196" s="69"/>
      <c r="V196" s="71"/>
      <c r="W196" s="75" t="str">
        <f>IF($V196="","",VLOOKUP($V196,$Y$3:$AA$200,2))</f>
        <v/>
      </c>
      <c r="X196" s="75" t="str">
        <f>IF($V196="","",VLOOKUP($V196,$Y$3:$AA$200,3))</f>
        <v/>
      </c>
    </row>
    <row r="197" spans="21:24" ht="15" customHeight="1" x14ac:dyDescent="0.25">
      <c r="U197" s="69"/>
      <c r="V197" s="71"/>
      <c r="W197" s="75" t="str">
        <f>IF($V197="","",VLOOKUP($V197,$Y$3:$AA$200,2))</f>
        <v/>
      </c>
      <c r="X197" s="75" t="str">
        <f>IF($V197="","",VLOOKUP($V197,$Y$3:$AA$200,3))</f>
        <v/>
      </c>
    </row>
    <row r="198" spans="21:24" ht="15" customHeight="1" x14ac:dyDescent="0.25">
      <c r="U198" s="69"/>
      <c r="V198" s="71"/>
      <c r="W198" s="75" t="str">
        <f>IF($V198="","",VLOOKUP($V198,$Y$3:$AA$200,2))</f>
        <v/>
      </c>
      <c r="X198" s="75" t="str">
        <f>IF($V198="","",VLOOKUP($V198,$Y$3:$AA$200,3))</f>
        <v/>
      </c>
    </row>
    <row r="199" spans="21:24" ht="15" customHeight="1" x14ac:dyDescent="0.25">
      <c r="U199" s="69"/>
      <c r="V199" s="71"/>
      <c r="W199" s="75" t="str">
        <f>IF($V199="","",VLOOKUP($V199,$Y$3:$AA$200,2))</f>
        <v/>
      </c>
      <c r="X199" s="75" t="str">
        <f>IF($V199="","",VLOOKUP($V199,$Y$3:$AA$200,3))</f>
        <v/>
      </c>
    </row>
    <row r="200" spans="21:24" ht="15" customHeight="1" x14ac:dyDescent="0.25">
      <c r="U200" s="69"/>
      <c r="V200" s="71"/>
      <c r="W200" s="75" t="str">
        <f>IF($V200="","",VLOOKUP($V200,$Y$3:$AA$200,2))</f>
        <v/>
      </c>
      <c r="X200" s="75" t="str">
        <f>IF($V200="","",VLOOKUP($V200,$Y$3:$AA$200,3))</f>
        <v/>
      </c>
    </row>
    <row r="201" spans="21:24" ht="15" customHeight="1" x14ac:dyDescent="0.25">
      <c r="U201" s="69"/>
      <c r="W201" s="72"/>
      <c r="X201" s="72"/>
    </row>
    <row r="202" spans="21:24" ht="15" customHeight="1" x14ac:dyDescent="0.25">
      <c r="U202" s="69"/>
      <c r="W202" s="71"/>
    </row>
    <row r="203" spans="21:24" ht="15" customHeight="1" x14ac:dyDescent="0.25">
      <c r="U203" s="69"/>
      <c r="W203" s="71"/>
    </row>
    <row r="204" spans="21:24" ht="15" customHeight="1" x14ac:dyDescent="0.25">
      <c r="U204" s="69"/>
      <c r="W204" s="71"/>
    </row>
    <row r="205" spans="21:24" ht="15" customHeight="1" x14ac:dyDescent="0.25">
      <c r="U205" s="69"/>
      <c r="W205" s="71"/>
    </row>
    <row r="206" spans="21:24" ht="15" customHeight="1" x14ac:dyDescent="0.25">
      <c r="U206" s="69"/>
      <c r="W206" s="71"/>
    </row>
    <row r="207" spans="21:24" ht="15" customHeight="1" x14ac:dyDescent="0.25">
      <c r="U207" s="69"/>
      <c r="W207" s="71"/>
    </row>
    <row r="208" spans="21:24" ht="15" customHeight="1" x14ac:dyDescent="0.25">
      <c r="U208" s="69"/>
      <c r="W208" s="71"/>
    </row>
    <row r="209" spans="21:23" ht="15" customHeight="1" x14ac:dyDescent="0.25">
      <c r="U209" s="69"/>
      <c r="W209" s="71"/>
    </row>
    <row r="210" spans="21:23" ht="15" customHeight="1" x14ac:dyDescent="0.25">
      <c r="U210" s="69"/>
      <c r="W210" s="71"/>
    </row>
    <row r="211" spans="21:23" ht="15" customHeight="1" x14ac:dyDescent="0.25">
      <c r="U211" s="69"/>
      <c r="W211" s="71"/>
    </row>
    <row r="212" spans="21:23" ht="15" customHeight="1" x14ac:dyDescent="0.25">
      <c r="U212" s="69"/>
      <c r="W212" s="71"/>
    </row>
    <row r="213" spans="21:23" ht="15" customHeight="1" x14ac:dyDescent="0.25">
      <c r="U213" s="69"/>
      <c r="W213" s="71"/>
    </row>
    <row r="214" spans="21:23" ht="15" customHeight="1" x14ac:dyDescent="0.25">
      <c r="U214" s="69"/>
      <c r="W214" s="71"/>
    </row>
    <row r="215" spans="21:23" ht="15" customHeight="1" x14ac:dyDescent="0.25">
      <c r="U215" s="69"/>
      <c r="W215" s="71"/>
    </row>
    <row r="216" spans="21:23" ht="15" customHeight="1" x14ac:dyDescent="0.25">
      <c r="U216" s="69"/>
      <c r="W216" s="71"/>
    </row>
    <row r="217" spans="21:23" ht="15" customHeight="1" x14ac:dyDescent="0.25">
      <c r="U217" s="69"/>
      <c r="W217" s="71"/>
    </row>
    <row r="218" spans="21:23" ht="15" customHeight="1" x14ac:dyDescent="0.25">
      <c r="U218" s="69"/>
      <c r="W218" s="71"/>
    </row>
    <row r="219" spans="21:23" ht="15" customHeight="1" x14ac:dyDescent="0.25">
      <c r="U219" s="69"/>
      <c r="W219" s="71"/>
    </row>
    <row r="220" spans="21:23" ht="15" customHeight="1" x14ac:dyDescent="0.25">
      <c r="U220" s="69"/>
      <c r="W220" s="71"/>
    </row>
    <row r="221" spans="21:23" ht="15" customHeight="1" x14ac:dyDescent="0.25">
      <c r="U221" s="69"/>
      <c r="W221" s="71"/>
    </row>
    <row r="222" spans="21:23" ht="15" customHeight="1" x14ac:dyDescent="0.25">
      <c r="U222" s="69"/>
      <c r="W222" s="71"/>
    </row>
    <row r="223" spans="21:23" ht="15" customHeight="1" x14ac:dyDescent="0.25">
      <c r="U223" s="69"/>
      <c r="W223" s="71"/>
    </row>
    <row r="224" spans="21:23" ht="15" customHeight="1" x14ac:dyDescent="0.25">
      <c r="U224" s="69"/>
      <c r="W224" s="71"/>
    </row>
    <row r="225" spans="21:23" ht="15" customHeight="1" x14ac:dyDescent="0.25">
      <c r="U225" s="69"/>
      <c r="W225" s="71"/>
    </row>
    <row r="226" spans="21:23" ht="15" customHeight="1" x14ac:dyDescent="0.25">
      <c r="U226" s="69"/>
      <c r="W226" s="71"/>
    </row>
    <row r="227" spans="21:23" ht="15" customHeight="1" x14ac:dyDescent="0.25">
      <c r="U227" s="69"/>
      <c r="W227" s="71"/>
    </row>
    <row r="228" spans="21:23" ht="15" customHeight="1" x14ac:dyDescent="0.25">
      <c r="U228" s="69"/>
      <c r="W228" s="71"/>
    </row>
    <row r="229" spans="21:23" ht="15" customHeight="1" x14ac:dyDescent="0.25">
      <c r="U229" s="69"/>
      <c r="W229" s="71"/>
    </row>
    <row r="230" spans="21:23" ht="15" customHeight="1" x14ac:dyDescent="0.25">
      <c r="U230" s="69"/>
      <c r="W230" s="71"/>
    </row>
    <row r="231" spans="21:23" ht="15" customHeight="1" x14ac:dyDescent="0.25">
      <c r="U231" s="69"/>
      <c r="W231" s="71"/>
    </row>
    <row r="232" spans="21:23" ht="15" customHeight="1" x14ac:dyDescent="0.25">
      <c r="U232" s="69"/>
      <c r="W232" s="71"/>
    </row>
    <row r="233" spans="21:23" ht="15" customHeight="1" x14ac:dyDescent="0.25">
      <c r="U233" s="69"/>
      <c r="W233" s="71"/>
    </row>
    <row r="234" spans="21:23" ht="15" customHeight="1" x14ac:dyDescent="0.25">
      <c r="U234" s="69"/>
      <c r="W234" s="71"/>
    </row>
    <row r="235" spans="21:23" ht="15" customHeight="1" x14ac:dyDescent="0.25">
      <c r="U235" s="69"/>
      <c r="W235" s="71"/>
    </row>
    <row r="236" spans="21:23" ht="15" customHeight="1" x14ac:dyDescent="0.25">
      <c r="U236" s="69"/>
      <c r="W236" s="71"/>
    </row>
    <row r="237" spans="21:23" ht="15" customHeight="1" x14ac:dyDescent="0.25">
      <c r="U237" s="69"/>
      <c r="W237" s="71"/>
    </row>
    <row r="238" spans="21:23" ht="15" customHeight="1" x14ac:dyDescent="0.25">
      <c r="U238" s="69"/>
      <c r="W238" s="71"/>
    </row>
    <row r="239" spans="21:23" ht="15" customHeight="1" x14ac:dyDescent="0.25">
      <c r="U239" s="69"/>
      <c r="W239" s="71"/>
    </row>
    <row r="240" spans="21:23" ht="15" customHeight="1" x14ac:dyDescent="0.25">
      <c r="U240" s="69"/>
      <c r="W240" s="71"/>
    </row>
    <row r="241" spans="21:23" ht="15" customHeight="1" x14ac:dyDescent="0.25">
      <c r="U241" s="69"/>
      <c r="W241" s="71"/>
    </row>
    <row r="242" spans="21:23" ht="15" customHeight="1" x14ac:dyDescent="0.25">
      <c r="U242" s="69"/>
      <c r="W242" s="71"/>
    </row>
    <row r="243" spans="21:23" ht="15" customHeight="1" x14ac:dyDescent="0.25">
      <c r="U243" s="69"/>
      <c r="W243" s="71"/>
    </row>
    <row r="244" spans="21:23" ht="15" customHeight="1" x14ac:dyDescent="0.25">
      <c r="U244" s="69"/>
      <c r="W244" s="71"/>
    </row>
    <row r="245" spans="21:23" ht="15" customHeight="1" x14ac:dyDescent="0.25">
      <c r="U245" s="69"/>
      <c r="W245" s="71"/>
    </row>
    <row r="246" spans="21:23" ht="15" customHeight="1" x14ac:dyDescent="0.25">
      <c r="U246" s="69"/>
      <c r="W246" s="71"/>
    </row>
    <row r="247" spans="21:23" ht="15" customHeight="1" x14ac:dyDescent="0.25">
      <c r="U247" s="69"/>
      <c r="W247" s="71"/>
    </row>
    <row r="248" spans="21:23" ht="15" customHeight="1" x14ac:dyDescent="0.25">
      <c r="U248" s="69"/>
      <c r="W248" s="71"/>
    </row>
    <row r="249" spans="21:23" ht="15" customHeight="1" x14ac:dyDescent="0.25">
      <c r="U249" s="69"/>
      <c r="W249" s="71"/>
    </row>
    <row r="250" spans="21:23" ht="15" customHeight="1" x14ac:dyDescent="0.25">
      <c r="U250" s="69"/>
      <c r="W250" s="71"/>
    </row>
    <row r="251" spans="21:23" ht="15" customHeight="1" x14ac:dyDescent="0.25">
      <c r="U251" s="69"/>
      <c r="W251" s="71"/>
    </row>
    <row r="252" spans="21:23" ht="15" customHeight="1" x14ac:dyDescent="0.25">
      <c r="U252" s="69"/>
      <c r="W252" s="71"/>
    </row>
    <row r="253" spans="21:23" ht="15" customHeight="1" x14ac:dyDescent="0.25">
      <c r="U253" s="69"/>
      <c r="W253" s="71"/>
    </row>
    <row r="254" spans="21:23" ht="15" customHeight="1" x14ac:dyDescent="0.25">
      <c r="U254" s="69"/>
      <c r="W254" s="71"/>
    </row>
    <row r="255" spans="21:23" ht="15" customHeight="1" x14ac:dyDescent="0.25">
      <c r="U255" s="69"/>
      <c r="W255" s="71"/>
    </row>
    <row r="256" spans="21:23" ht="15" customHeight="1" x14ac:dyDescent="0.25">
      <c r="U256" s="69"/>
      <c r="W256" s="71"/>
    </row>
    <row r="257" spans="21:23" ht="15" customHeight="1" x14ac:dyDescent="0.25">
      <c r="U257" s="69"/>
      <c r="W257" s="71"/>
    </row>
    <row r="258" spans="21:23" ht="15" customHeight="1" x14ac:dyDescent="0.25">
      <c r="U258" s="69"/>
      <c r="W258" s="71"/>
    </row>
    <row r="259" spans="21:23" ht="15" customHeight="1" x14ac:dyDescent="0.25">
      <c r="U259" s="69"/>
      <c r="W259" s="71"/>
    </row>
    <row r="260" spans="21:23" ht="15" customHeight="1" x14ac:dyDescent="0.25">
      <c r="U260" s="69"/>
      <c r="W260" s="71"/>
    </row>
    <row r="261" spans="21:23" ht="15" customHeight="1" x14ac:dyDescent="0.25">
      <c r="U261" s="69"/>
      <c r="W261" s="71"/>
    </row>
    <row r="262" spans="21:23" ht="15" customHeight="1" x14ac:dyDescent="0.25">
      <c r="U262" s="69"/>
      <c r="W262" s="71"/>
    </row>
    <row r="263" spans="21:23" ht="15" customHeight="1" x14ac:dyDescent="0.25">
      <c r="U263" s="69"/>
      <c r="W263" s="71"/>
    </row>
    <row r="264" spans="21:23" ht="15" customHeight="1" x14ac:dyDescent="0.25">
      <c r="U264" s="69"/>
      <c r="W264" s="71"/>
    </row>
    <row r="265" spans="21:23" ht="15" customHeight="1" x14ac:dyDescent="0.25">
      <c r="U265" s="69"/>
      <c r="W265" s="71"/>
    </row>
    <row r="266" spans="21:23" ht="15" customHeight="1" x14ac:dyDescent="0.25">
      <c r="U266" s="69"/>
      <c r="W266" s="71"/>
    </row>
    <row r="267" spans="21:23" ht="15" customHeight="1" x14ac:dyDescent="0.25">
      <c r="U267" s="69"/>
      <c r="W267" s="71"/>
    </row>
    <row r="268" spans="21:23" ht="15" customHeight="1" x14ac:dyDescent="0.25">
      <c r="U268" s="69"/>
      <c r="W268" s="71"/>
    </row>
    <row r="269" spans="21:23" ht="15" customHeight="1" x14ac:dyDescent="0.25">
      <c r="U269" s="69"/>
      <c r="W269" s="71"/>
    </row>
    <row r="270" spans="21:23" ht="15" customHeight="1" x14ac:dyDescent="0.25">
      <c r="U270" s="69"/>
      <c r="W270" s="71"/>
    </row>
    <row r="271" spans="21:23" ht="15" customHeight="1" x14ac:dyDescent="0.25">
      <c r="U271" s="69"/>
      <c r="W271" s="71"/>
    </row>
    <row r="272" spans="21:23" ht="15" customHeight="1" x14ac:dyDescent="0.25">
      <c r="U272" s="69"/>
      <c r="W272" s="71"/>
    </row>
    <row r="273" spans="21:23" ht="15" customHeight="1" x14ac:dyDescent="0.25">
      <c r="U273" s="69"/>
      <c r="W273" s="71"/>
    </row>
    <row r="274" spans="21:23" ht="15" customHeight="1" x14ac:dyDescent="0.25">
      <c r="U274" s="69"/>
    </row>
    <row r="275" spans="21:23" ht="15" customHeight="1" x14ac:dyDescent="0.25">
      <c r="U275" s="69"/>
    </row>
    <row r="276" spans="21:23" ht="15" customHeight="1" x14ac:dyDescent="0.25">
      <c r="U276" s="69"/>
    </row>
    <row r="277" spans="21:23" ht="15" customHeight="1" x14ac:dyDescent="0.25">
      <c r="U277" s="69"/>
    </row>
    <row r="278" spans="21:23" ht="15" customHeight="1" x14ac:dyDescent="0.25">
      <c r="U278" s="69"/>
    </row>
    <row r="279" spans="21:23" ht="15" customHeight="1" x14ac:dyDescent="0.25">
      <c r="U279" s="69"/>
    </row>
    <row r="280" spans="21:23" ht="15" customHeight="1" x14ac:dyDescent="0.25">
      <c r="U280" s="69"/>
    </row>
    <row r="281" spans="21:23" ht="15" customHeight="1" x14ac:dyDescent="0.25">
      <c r="U281" s="69"/>
    </row>
    <row r="282" spans="21:23" ht="15" customHeight="1" x14ac:dyDescent="0.25">
      <c r="U282" s="69"/>
    </row>
    <row r="283" spans="21:23" ht="15" customHeight="1" x14ac:dyDescent="0.25">
      <c r="U283" s="69"/>
    </row>
    <row r="284" spans="21:23" ht="15" customHeight="1" x14ac:dyDescent="0.25">
      <c r="U284" s="69"/>
    </row>
    <row r="285" spans="21:23" ht="15" customHeight="1" x14ac:dyDescent="0.25">
      <c r="U285" s="69"/>
    </row>
    <row r="286" spans="21:23" ht="15" customHeight="1" x14ac:dyDescent="0.25">
      <c r="U286" s="69"/>
    </row>
    <row r="287" spans="21:23" ht="15" customHeight="1" x14ac:dyDescent="0.25">
      <c r="U287" s="69"/>
    </row>
    <row r="288" spans="21:23" ht="15" customHeight="1" x14ac:dyDescent="0.25">
      <c r="U288" s="69"/>
    </row>
    <row r="289" spans="21:21" ht="15" customHeight="1" x14ac:dyDescent="0.25">
      <c r="U289" s="69"/>
    </row>
    <row r="290" spans="21:21" ht="15" customHeight="1" x14ac:dyDescent="0.25">
      <c r="U290" s="69"/>
    </row>
    <row r="291" spans="21:21" ht="15" customHeight="1" x14ac:dyDescent="0.25">
      <c r="U291" s="69"/>
    </row>
    <row r="292" spans="21:21" ht="15" customHeight="1" x14ac:dyDescent="0.25">
      <c r="U292" s="69"/>
    </row>
    <row r="293" spans="21:21" ht="15" customHeight="1" x14ac:dyDescent="0.25">
      <c r="U293" s="69"/>
    </row>
    <row r="294" spans="21:21" ht="15" customHeight="1" x14ac:dyDescent="0.25">
      <c r="U294" s="69"/>
    </row>
    <row r="295" spans="21:21" ht="15" customHeight="1" x14ac:dyDescent="0.25">
      <c r="U295" s="69"/>
    </row>
    <row r="296" spans="21:21" ht="15" customHeight="1" x14ac:dyDescent="0.25">
      <c r="U296" s="69"/>
    </row>
    <row r="297" spans="21:21" ht="15" customHeight="1" x14ac:dyDescent="0.25">
      <c r="U297" s="69"/>
    </row>
    <row r="298" spans="21:21" ht="15" customHeight="1" x14ac:dyDescent="0.25">
      <c r="U298" s="69"/>
    </row>
    <row r="299" spans="21:21" ht="15" customHeight="1" x14ac:dyDescent="0.25">
      <c r="U299" s="69"/>
    </row>
    <row r="300" spans="21:21" ht="15" customHeight="1" x14ac:dyDescent="0.25">
      <c r="U300" s="69"/>
    </row>
    <row r="301" spans="21:21" ht="15" customHeight="1" x14ac:dyDescent="0.25">
      <c r="U301" s="69"/>
    </row>
    <row r="302" spans="21:21" ht="15" customHeight="1" x14ac:dyDescent="0.25">
      <c r="U302" s="69"/>
    </row>
    <row r="303" spans="21:21" ht="15" customHeight="1" x14ac:dyDescent="0.25">
      <c r="U303" s="69"/>
    </row>
    <row r="304" spans="21:21" ht="15" customHeight="1" x14ac:dyDescent="0.25">
      <c r="U304" s="69"/>
    </row>
    <row r="305" spans="21:21" ht="15" customHeight="1" x14ac:dyDescent="0.25">
      <c r="U305" s="69"/>
    </row>
    <row r="306" spans="21:21" ht="15" customHeight="1" x14ac:dyDescent="0.25">
      <c r="U306" s="69"/>
    </row>
    <row r="307" spans="21:21" ht="15" customHeight="1" x14ac:dyDescent="0.25">
      <c r="U307" s="69"/>
    </row>
    <row r="308" spans="21:21" ht="15" customHeight="1" x14ac:dyDescent="0.25">
      <c r="U308" s="69"/>
    </row>
    <row r="309" spans="21:21" ht="15" customHeight="1" x14ac:dyDescent="0.25">
      <c r="U309" s="69"/>
    </row>
    <row r="310" spans="21:21" ht="15" customHeight="1" x14ac:dyDescent="0.25">
      <c r="U310" s="69"/>
    </row>
    <row r="311" spans="21:21" ht="15" customHeight="1" x14ac:dyDescent="0.25">
      <c r="U311" s="69"/>
    </row>
    <row r="312" spans="21:21" ht="15" customHeight="1" x14ac:dyDescent="0.25">
      <c r="U312" s="69"/>
    </row>
    <row r="313" spans="21:21" ht="15" customHeight="1" x14ac:dyDescent="0.25">
      <c r="U313" s="69"/>
    </row>
    <row r="314" spans="21:21" ht="15" customHeight="1" x14ac:dyDescent="0.25">
      <c r="U314" s="69"/>
    </row>
    <row r="315" spans="21:21" ht="15" customHeight="1" x14ac:dyDescent="0.25">
      <c r="U315" s="69"/>
    </row>
  </sheetData>
  <sortState ref="U3:X1000">
    <sortCondition ref="U3"/>
  </sortState>
  <conditionalFormatting sqref="F75:G101 B3:P3 B4:F4 F5:F73 U172:U315 B5:E100 G4:G73 H4:P100">
    <cfRule type="notContainsBlanks" dxfId="17" priority="165">
      <formula>LEN(TRIM(B3))&gt;0</formula>
    </cfRule>
  </conditionalFormatting>
  <conditionalFormatting sqref="U3:X200">
    <cfRule type="notContainsBlanks" dxfId="16" priority="122">
      <formula>LEN(TRIM(U3))&gt;0</formula>
    </cfRule>
  </conditionalFormatting>
  <conditionalFormatting sqref="F74:G74">
    <cfRule type="notContainsBlanks" dxfId="15" priority="111">
      <formula>LEN(TRIM(F74))&gt;0</formula>
    </cfRule>
  </conditionalFormatting>
  <conditionalFormatting sqref="V3:V1000">
    <cfRule type="expression" dxfId="14" priority="20">
      <formula>AND(V3=U3,U3&lt;&gt;"",V3&lt;&gt;"")</formula>
    </cfRule>
  </conditionalFormatting>
  <conditionalFormatting sqref="U3:U1000">
    <cfRule type="expression" dxfId="13" priority="19">
      <formula>AND(U3=V3,U3&lt;&gt;"",V3&lt;&gt;"")</formula>
    </cfRule>
  </conditionalFormatting>
  <conditionalFormatting sqref="Y3:AA100">
    <cfRule type="notContainsBlanks" dxfId="12" priority="6">
      <formula>LEN(TRIM(Y3))&gt;0</formula>
    </cfRule>
  </conditionalFormatting>
  <conditionalFormatting sqref="Y101:AA122">
    <cfRule type="notContainsBlanks" dxfId="11" priority="5">
      <formula>LEN(TRIM(Y101))&gt;0</formula>
    </cfRule>
  </conditionalFormatting>
  <dataValidations count="3">
    <dataValidation type="list" allowBlank="1" showInputMessage="1" showErrorMessage="1" sqref="L3:L100 C3:C100 O3:O100 F3:F100 I3:I100 Z3:Z122" xr:uid="{B55C2719-86A5-453C-9CB6-7014AD5927A3}">
      <formula1>Couleur</formula1>
    </dataValidation>
    <dataValidation type="list" allowBlank="1" showInputMessage="1" showErrorMessage="1" sqref="D3:D100 G3:G100 M3:M100 P3:P100 J3:J100 AA3:AA122" xr:uid="{7BEC29C9-F8AD-4A0E-B567-A313A9CBF92F}">
      <formula1>TypeLigne</formula1>
    </dataValidation>
    <dataValidation type="list" allowBlank="1" showInputMessage="1" showErrorMessage="1" sqref="V3:V200" xr:uid="{B8D168B6-C4F0-4F87-8919-653DC8823993}">
      <formula1>Liste_Complète_Calques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rier_Calques">
                <anchor moveWithCells="1" sizeWithCells="1">
                  <from>
                    <xdr:col>16</xdr:col>
                    <xdr:colOff>171450</xdr:colOff>
                    <xdr:row>0</xdr:row>
                    <xdr:rowOff>180975</xdr:rowOff>
                  </from>
                  <to>
                    <xdr:col>19</xdr:col>
                    <xdr:colOff>47625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Liste_Calques">
                <anchor moveWithCells="1" sizeWithCells="1">
                  <from>
                    <xdr:col>16</xdr:col>
                    <xdr:colOff>171450</xdr:colOff>
                    <xdr:row>4</xdr:row>
                    <xdr:rowOff>0</xdr:rowOff>
                  </from>
                  <to>
                    <xdr:col>19</xdr:col>
                    <xdr:colOff>47625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7304E-115D-4E84-9C7D-2A402B2FE255}">
  <sheetPr codeName="Feuil3"/>
  <dimension ref="B1:AZ100"/>
  <sheetViews>
    <sheetView showGridLines="0" zoomScale="70" zoomScaleNormal="7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G3" sqref="G3"/>
    </sheetView>
  </sheetViews>
  <sheetFormatPr baseColWidth="10" defaultColWidth="35.7109375" defaultRowHeight="15" x14ac:dyDescent="0.25"/>
  <cols>
    <col min="1" max="1" width="2.85546875" style="2" customWidth="1"/>
    <col min="2" max="2" width="8.5703125" style="2" customWidth="1"/>
    <col min="3" max="3" width="142.85546875" style="3" customWidth="1"/>
    <col min="4" max="16384" width="35.7109375" style="2"/>
  </cols>
  <sheetData>
    <row r="1" spans="2:52" ht="22.5" customHeight="1" x14ac:dyDescent="0.25">
      <c r="B1" s="90" t="s">
        <v>197</v>
      </c>
      <c r="C1" s="91"/>
      <c r="D1" s="92"/>
      <c r="E1" s="62" t="s">
        <v>307</v>
      </c>
      <c r="F1" s="62" t="s">
        <v>310</v>
      </c>
      <c r="G1" s="62" t="s">
        <v>309</v>
      </c>
    </row>
    <row r="2" spans="2:52" ht="22.5" customHeight="1" x14ac:dyDescent="0.25">
      <c r="B2" s="93"/>
      <c r="C2" s="94"/>
      <c r="D2" s="95"/>
      <c r="E2" s="63" t="s">
        <v>311</v>
      </c>
      <c r="F2" s="64">
        <v>43631</v>
      </c>
      <c r="G2" s="63" t="s">
        <v>432</v>
      </c>
    </row>
    <row r="4" spans="2:52" s="36" customFormat="1" ht="30" customHeight="1" x14ac:dyDescent="0.25">
      <c r="B4" s="65" t="s">
        <v>194</v>
      </c>
      <c r="C4" s="65" t="s">
        <v>195</v>
      </c>
      <c r="D4" s="89" t="s">
        <v>196</v>
      </c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</row>
    <row r="5" spans="2:52" x14ac:dyDescent="0.25">
      <c r="B5" s="40" t="str">
        <f>IF('Indice Plan'!$B3 = "", "", 'Indice Plan'!$B3)</f>
        <v>0010</v>
      </c>
      <c r="C5" s="39" t="str">
        <f t="shared" ref="C5:C36" si="0">IF($B5 = "", "", VLOOKUP($B5,Ind_Toiture,2))</f>
        <v>PLAN DE MASSE / SITUATION DU SITE / VUE AERIENNE</v>
      </c>
      <c r="D5" s="37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</row>
    <row r="6" spans="2:52" x14ac:dyDescent="0.25">
      <c r="B6" s="41" t="str">
        <f>IF('Indice Plan'!$B4 = "", "", 'Indice Plan'!$B4)</f>
        <v>0020</v>
      </c>
      <c r="C6" s="42" t="str">
        <f t="shared" si="0"/>
        <v>PARCELLES CADASTRALES</v>
      </c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</row>
    <row r="7" spans="2:52" x14ac:dyDescent="0.25">
      <c r="B7" s="41" t="str">
        <f>IF('Indice Plan'!$B5 = "", "", 'Indice Plan'!$B5)</f>
        <v>0030</v>
      </c>
      <c r="C7" s="42" t="str">
        <f t="shared" si="0"/>
        <v>TOPOGRAPHIE - RELEVE TOITURE</v>
      </c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</row>
    <row r="8" spans="2:52" x14ac:dyDescent="0.25">
      <c r="B8" s="41" t="str">
        <f>IF('Indice Plan'!$B6 = "", "", 'Indice Plan'!$B6)</f>
        <v>0040</v>
      </c>
      <c r="C8" s="42" t="str">
        <f t="shared" si="0"/>
        <v>RESEAUX ET VRD</v>
      </c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</row>
    <row r="9" spans="2:52" x14ac:dyDescent="0.25">
      <c r="B9" s="41" t="str">
        <f>IF('Indice Plan'!$B7 = "", "", 'Indice Plan'!$B7)</f>
        <v>0050</v>
      </c>
      <c r="C9" s="42" t="str">
        <f t="shared" si="0"/>
        <v>SCHEMAS ELECTRIQUES</v>
      </c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</row>
    <row r="10" spans="2:52" x14ac:dyDescent="0.25">
      <c r="B10" s="41" t="str">
        <f>IF('Indice Plan'!$B8 = "", "", 'Indice Plan'!$B8)</f>
        <v>0060</v>
      </c>
      <c r="C10" s="42" t="str">
        <f t="shared" si="0"/>
        <v>BÂTIMENT - CHARPENTE ET COUVERTURE / ETANCHEITE</v>
      </c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</row>
    <row r="11" spans="2:52" x14ac:dyDescent="0.25">
      <c r="B11" s="41" t="str">
        <f>IF('Indice Plan'!$B9 = "", "", 'Indice Plan'!$B9)</f>
        <v>1010</v>
      </c>
      <c r="C11" s="42" t="str">
        <f t="shared" si="0"/>
        <v>ENJEUX ADMINISTRATIFS ET ENVIRONNEMENTAUX - [ACCES ET DISPOSITIFS POUR SECURITE INCENDIE]/[DGAC - ANALYSE DE LA GENE VISUELLE]</v>
      </c>
      <c r="D11" s="43" t="s">
        <v>149</v>
      </c>
      <c r="E11" s="43" t="s">
        <v>146</v>
      </c>
      <c r="F11" s="43" t="s">
        <v>217</v>
      </c>
      <c r="G11" s="43" t="s">
        <v>124</v>
      </c>
      <c r="H11" s="43" t="s">
        <v>209</v>
      </c>
      <c r="I11" s="43" t="s">
        <v>122</v>
      </c>
      <c r="J11" s="43" t="s">
        <v>121</v>
      </c>
      <c r="K11" s="43" t="s">
        <v>118</v>
      </c>
      <c r="L11" s="43" t="s">
        <v>154</v>
      </c>
      <c r="M11" s="43" t="s">
        <v>242</v>
      </c>
      <c r="N11" s="43" t="s">
        <v>186</v>
      </c>
      <c r="O11" s="43" t="s">
        <v>228</v>
      </c>
      <c r="P11" s="43" t="s">
        <v>129</v>
      </c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</row>
    <row r="12" spans="2:52" x14ac:dyDescent="0.25">
      <c r="B12" s="41" t="str">
        <f>IF('Indice Plan'!$B10 = "", "", 'Indice Plan'!$B10)</f>
        <v>1020</v>
      </c>
      <c r="C12" s="42" t="str">
        <f t="shared" si="0"/>
        <v>IMPLANTATION GENERALE DU GENERATEUR PV</v>
      </c>
      <c r="D12" s="43" t="s">
        <v>121</v>
      </c>
      <c r="E12" s="43" t="s">
        <v>149</v>
      </c>
      <c r="F12" s="43" t="s">
        <v>186</v>
      </c>
      <c r="G12" s="43" t="s">
        <v>129</v>
      </c>
      <c r="H12" s="43" t="s">
        <v>124</v>
      </c>
      <c r="I12" s="43" t="s">
        <v>209</v>
      </c>
      <c r="J12" s="43" t="s">
        <v>151</v>
      </c>
      <c r="K12" s="43" t="s">
        <v>154</v>
      </c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</row>
    <row r="13" spans="2:52" x14ac:dyDescent="0.25">
      <c r="B13" s="41" t="str">
        <f>IF('Indice Plan'!$B11 = "", "", 'Indice Plan'!$B11)</f>
        <v>1030</v>
      </c>
      <c r="C13" s="42" t="str">
        <f t="shared" si="0"/>
        <v>CALEPINAGE DES MODULES PV</v>
      </c>
      <c r="D13" s="43" t="s">
        <v>120</v>
      </c>
      <c r="E13" s="43" t="s">
        <v>122</v>
      </c>
      <c r="F13" s="43" t="s">
        <v>208</v>
      </c>
      <c r="G13" s="43" t="s">
        <v>123</v>
      </c>
      <c r="H13" s="43" t="s">
        <v>170</v>
      </c>
      <c r="I13" s="43" t="s">
        <v>127</v>
      </c>
      <c r="J13" s="43" t="s">
        <v>151</v>
      </c>
      <c r="K13" s="43" t="s">
        <v>217</v>
      </c>
      <c r="L13" s="43" t="s">
        <v>209</v>
      </c>
      <c r="M13" s="43" t="s">
        <v>124</v>
      </c>
      <c r="N13" s="43" t="s">
        <v>125</v>
      </c>
      <c r="O13" s="43" t="s">
        <v>228</v>
      </c>
      <c r="P13" s="43" t="s">
        <v>128</v>
      </c>
      <c r="Q13" s="43" t="s">
        <v>186</v>
      </c>
      <c r="R13" s="43" t="s">
        <v>129</v>
      </c>
      <c r="S13" s="43" t="s">
        <v>206</v>
      </c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</row>
    <row r="14" spans="2:52" x14ac:dyDescent="0.25">
      <c r="B14" s="41" t="str">
        <f>IF('Indice Plan'!$B12 = "", "", 'Indice Plan'!$B12)</f>
        <v>1040</v>
      </c>
      <c r="C14" s="42" t="str">
        <f t="shared" si="0"/>
        <v>GESTION DES OMBRAGES</v>
      </c>
      <c r="D14" s="43" t="s">
        <v>120</v>
      </c>
      <c r="E14" s="43" t="s">
        <v>212</v>
      </c>
      <c r="F14" s="43" t="s">
        <v>228</v>
      </c>
      <c r="G14" s="43" t="s">
        <v>123</v>
      </c>
      <c r="H14" s="43" t="s">
        <v>206</v>
      </c>
      <c r="I14" s="43" t="s">
        <v>127</v>
      </c>
      <c r="J14" s="43" t="s">
        <v>151</v>
      </c>
      <c r="K14" s="43" t="s">
        <v>217</v>
      </c>
      <c r="L14" s="43" t="s">
        <v>209</v>
      </c>
      <c r="M14" s="43" t="s">
        <v>124</v>
      </c>
      <c r="N14" s="43" t="s">
        <v>129</v>
      </c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</row>
    <row r="15" spans="2:52" x14ac:dyDescent="0.25">
      <c r="B15" s="41" t="str">
        <f>IF('Indice Plan'!$B13 = "", "", 'Indice Plan'!$B13)</f>
        <v>1050</v>
      </c>
      <c r="C15" s="42" t="str">
        <f t="shared" si="0"/>
        <v>REPARTITION DES CHAMPS PV</v>
      </c>
      <c r="D15" s="43" t="s">
        <v>120</v>
      </c>
      <c r="E15" s="43" t="s">
        <v>127</v>
      </c>
      <c r="F15" s="43" t="s">
        <v>427</v>
      </c>
      <c r="G15" s="43" t="s">
        <v>151</v>
      </c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</row>
    <row r="16" spans="2:52" x14ac:dyDescent="0.25">
      <c r="B16" s="41" t="str">
        <f>IF('Indice Plan'!$B14 = "", "", 'Indice Plan'!$B14)</f>
        <v>1060</v>
      </c>
      <c r="C16" s="42" t="str">
        <f t="shared" si="0"/>
        <v>IMPLANTATION STATION METEO</v>
      </c>
      <c r="D16" s="43" t="s">
        <v>120</v>
      </c>
      <c r="E16" s="43" t="s">
        <v>127</v>
      </c>
      <c r="F16" s="43" t="s">
        <v>151</v>
      </c>
      <c r="G16" s="43" t="s">
        <v>130</v>
      </c>
      <c r="H16" s="43" t="s">
        <v>228</v>
      </c>
      <c r="I16" s="43" t="s">
        <v>186</v>
      </c>
      <c r="J16" s="43" t="s">
        <v>217</v>
      </c>
      <c r="K16" s="43" t="s">
        <v>206</v>
      </c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</row>
    <row r="17" spans="2:52" x14ac:dyDescent="0.25">
      <c r="B17" s="41" t="str">
        <f>IF('Indice Plan'!$B15 = "", "", 'Indice Plan'!$B15)</f>
        <v>1070</v>
      </c>
      <c r="C17" s="42" t="str">
        <f t="shared" si="0"/>
        <v>IMPLANTATION DU PROCEDE PV - SYSTÈME DE FIXATION DES MODULES</v>
      </c>
      <c r="D17" s="43" t="s">
        <v>206</v>
      </c>
      <c r="E17" s="43" t="s">
        <v>127</v>
      </c>
      <c r="F17" s="43" t="s">
        <v>215</v>
      </c>
      <c r="G17" s="43" t="s">
        <v>128</v>
      </c>
      <c r="H17" s="43" t="s">
        <v>214</v>
      </c>
      <c r="I17" s="43" t="s">
        <v>129</v>
      </c>
      <c r="J17" s="43" t="s">
        <v>124</v>
      </c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</row>
    <row r="18" spans="2:52" x14ac:dyDescent="0.25">
      <c r="B18" s="41" t="str">
        <f>IF('Indice Plan'!$B16 = "", "", 'Indice Plan'!$B16)</f>
        <v>1080</v>
      </c>
      <c r="C18" s="42" t="str">
        <f t="shared" si="0"/>
        <v xml:space="preserve">IMPLANTATION DU PROCEDE PV - DENSITE DES ANCRAGES </v>
      </c>
      <c r="D18" s="43" t="s">
        <v>206</v>
      </c>
      <c r="E18" s="43" t="s">
        <v>127</v>
      </c>
      <c r="F18" s="43" t="s">
        <v>131</v>
      </c>
      <c r="G18" s="43" t="s">
        <v>128</v>
      </c>
      <c r="H18" s="43" t="s">
        <v>124</v>
      </c>
      <c r="I18" s="43" t="s">
        <v>129</v>
      </c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</row>
    <row r="19" spans="2:52" x14ac:dyDescent="0.25">
      <c r="B19" s="41" t="str">
        <f>IF('Indice Plan'!$B17 = "", "", 'Indice Plan'!$B17)</f>
        <v>1090</v>
      </c>
      <c r="C19" s="42" t="str">
        <f t="shared" si="0"/>
        <v>IMPLANTATION DU PROCEDE PV - REPARTITION DES RAILS EN TOITURE</v>
      </c>
      <c r="D19" s="43" t="s">
        <v>206</v>
      </c>
      <c r="E19" s="43" t="s">
        <v>127</v>
      </c>
      <c r="F19" s="43" t="s">
        <v>215</v>
      </c>
      <c r="G19" s="43" t="s">
        <v>128</v>
      </c>
      <c r="H19" s="43" t="s">
        <v>214</v>
      </c>
      <c r="I19" s="43" t="s">
        <v>129</v>
      </c>
      <c r="J19" s="43" t="s">
        <v>124</v>
      </c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</row>
    <row r="20" spans="2:52" x14ac:dyDescent="0.25">
      <c r="B20" s="41" t="str">
        <f>IF('Indice Plan'!$B18 = "", "", 'Indice Plan'!$B18)</f>
        <v>2010</v>
      </c>
      <c r="C20" s="42" t="str">
        <f t="shared" si="0"/>
        <v>SCHEMA UNIFILAIRE GENERAL</v>
      </c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</row>
    <row r="21" spans="2:52" x14ac:dyDescent="0.25">
      <c r="B21" s="41" t="str">
        <f>IF('Indice Plan'!$B19 = "", "", 'Indice Plan'!$B19)</f>
        <v>2020</v>
      </c>
      <c r="C21" s="42" t="str">
        <f t="shared" si="0"/>
        <v>SCHEMA UNIFILAIRE HTA</v>
      </c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</row>
    <row r="22" spans="2:52" x14ac:dyDescent="0.25">
      <c r="B22" s="41" t="str">
        <f>IF('Indice Plan'!$B20 = "", "", 'Indice Plan'!$B20)</f>
        <v>2030</v>
      </c>
      <c r="C22" s="42" t="str">
        <f t="shared" si="0"/>
        <v>SCHEMA UNIFILAIRE  DES AUXILIAIRES</v>
      </c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</row>
    <row r="23" spans="2:52" x14ac:dyDescent="0.25">
      <c r="B23" s="41" t="str">
        <f>IF('Indice Plan'!$B21 = "", "", 'Indice Plan'!$B21)</f>
        <v>2040</v>
      </c>
      <c r="C23" s="42" t="str">
        <f t="shared" si="0"/>
        <v>SCHEMA UNIFILAIRE  DE COMMUNICATION</v>
      </c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</row>
    <row r="24" spans="2:52" x14ac:dyDescent="0.25">
      <c r="B24" s="41" t="str">
        <f>IF('Indice Plan'!$B22 = "", "", 'Indice Plan'!$B22)</f>
        <v>2050</v>
      </c>
      <c r="C24" s="42" t="str">
        <f t="shared" si="0"/>
        <v>SCHEMA UNIFILAIRE  DE COMMUNICATION</v>
      </c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</row>
    <row r="25" spans="2:52" x14ac:dyDescent="0.25">
      <c r="B25" s="41" t="str">
        <f>IF('Indice Plan'!$B23 = "", "", 'Indice Plan'!$B23)</f>
        <v>2060</v>
      </c>
      <c r="C25" s="42" t="str">
        <f t="shared" si="0"/>
        <v>SCHEMA UNIFILAIRE  DE COMMUNICATION</v>
      </c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</row>
    <row r="26" spans="2:52" x14ac:dyDescent="0.25">
      <c r="B26" s="41" t="str">
        <f>IF('Indice Plan'!$B24 = "", "", 'Indice Plan'!$B24)</f>
        <v>3010</v>
      </c>
      <c r="C26" s="42" t="str">
        <f t="shared" si="0"/>
        <v>CABLAGE GENERAL CFo</v>
      </c>
      <c r="D26" s="43" t="s">
        <v>206</v>
      </c>
      <c r="E26" s="43" t="s">
        <v>121</v>
      </c>
      <c r="F26" s="43" t="s">
        <v>191</v>
      </c>
      <c r="G26" s="43" t="s">
        <v>431</v>
      </c>
      <c r="H26" s="43" t="s">
        <v>229</v>
      </c>
      <c r="I26" s="43" t="s">
        <v>228</v>
      </c>
      <c r="J26" s="43" t="s">
        <v>186</v>
      </c>
      <c r="K26" s="43" t="s">
        <v>425</v>
      </c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</row>
    <row r="27" spans="2:52" x14ac:dyDescent="0.25">
      <c r="B27" s="41" t="str">
        <f>IF('Indice Plan'!$B25 = "", "", 'Indice Plan'!$B25)</f>
        <v>3020</v>
      </c>
      <c r="C27" s="42" t="str">
        <f t="shared" si="0"/>
        <v>CABLAGE GENERAL CFa</v>
      </c>
      <c r="D27" s="43" t="s">
        <v>206</v>
      </c>
      <c r="E27" s="43" t="s">
        <v>121</v>
      </c>
      <c r="F27" s="43" t="s">
        <v>191</v>
      </c>
      <c r="G27" s="43" t="s">
        <v>431</v>
      </c>
      <c r="H27" s="43" t="s">
        <v>229</v>
      </c>
      <c r="I27" s="43" t="s">
        <v>228</v>
      </c>
      <c r="J27" s="43" t="s">
        <v>186</v>
      </c>
      <c r="K27" s="43" t="s">
        <v>425</v>
      </c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</row>
    <row r="28" spans="2:52" x14ac:dyDescent="0.25">
      <c r="B28" s="41" t="str">
        <f>IF('Indice Plan'!$B26 = "", "", 'Indice Plan'!$B26)</f>
        <v>3030</v>
      </c>
      <c r="C28" s="42" t="str">
        <f t="shared" si="0"/>
        <v>CABLAGE CC DES CHAINES PV ENTRE MODULES</v>
      </c>
      <c r="D28" s="43" t="s">
        <v>206</v>
      </c>
      <c r="E28" s="43" t="s">
        <v>127</v>
      </c>
      <c r="F28" s="43" t="s">
        <v>191</v>
      </c>
      <c r="G28" s="43" t="s">
        <v>430</v>
      </c>
      <c r="H28" s="43" t="s">
        <v>208</v>
      </c>
      <c r="I28" s="43" t="s">
        <v>213</v>
      </c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</row>
    <row r="29" spans="2:52" x14ac:dyDescent="0.25">
      <c r="B29" s="41" t="str">
        <f>IF('Indice Plan'!$B27 = "", "", 'Indice Plan'!$B27)</f>
        <v>3040</v>
      </c>
      <c r="C29" s="42" t="str">
        <f t="shared" si="0"/>
        <v>CABLAGE CC DES CHAINES PV AUX BJ</v>
      </c>
      <c r="D29" s="43" t="s">
        <v>206</v>
      </c>
      <c r="E29" s="43" t="s">
        <v>127</v>
      </c>
      <c r="F29" s="43" t="s">
        <v>132</v>
      </c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</row>
    <row r="30" spans="2:52" x14ac:dyDescent="0.25">
      <c r="B30" s="41" t="str">
        <f>IF('Indice Plan'!$B28 = "", "", 'Indice Plan'!$B28)</f>
        <v>3050</v>
      </c>
      <c r="C30" s="42" t="str">
        <f t="shared" si="0"/>
        <v xml:space="preserve">RACCORDEMENT AU RESEAU PUBLIC DE DISTRIBUTION - DETAIL DU POINT DE LIVRAISON </v>
      </c>
      <c r="D30" s="43" t="s">
        <v>149</v>
      </c>
      <c r="E30" s="43" t="s">
        <v>121</v>
      </c>
      <c r="F30" s="43" t="s">
        <v>132</v>
      </c>
      <c r="G30" s="43" t="s">
        <v>186</v>
      </c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</row>
    <row r="31" spans="2:52" x14ac:dyDescent="0.25">
      <c r="B31" s="41" t="str">
        <f>IF('Indice Plan'!$B29 = "", "", 'Indice Plan'!$B29)</f>
        <v>3055</v>
      </c>
      <c r="C31" s="42" t="str">
        <f t="shared" si="0"/>
        <v>RACCORDEMENT AU RESEAU PUBLIC DE DISTRIBUTION - TRACE ERDF EN VOIRIE PUBLIQUE</v>
      </c>
      <c r="D31" s="43" t="s">
        <v>149</v>
      </c>
      <c r="E31" s="43" t="s">
        <v>186</v>
      </c>
      <c r="F31" s="43" t="s">
        <v>132</v>
      </c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</row>
    <row r="32" spans="2:52" x14ac:dyDescent="0.25">
      <c r="B32" s="41" t="str">
        <f>IF('Indice Plan'!$B30 = "", "", 'Indice Plan'!$B30)</f>
        <v>3060</v>
      </c>
      <c r="C32" s="42" t="str">
        <f t="shared" si="0"/>
        <v>LIAISONS EQUIPOTENTIELLES</v>
      </c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</row>
    <row r="33" spans="2:52" x14ac:dyDescent="0.25">
      <c r="B33" s="41" t="str">
        <f>IF('Indice Plan'!$B31 = "", "", 'Indice Plan'!$B31)</f>
        <v>3100</v>
      </c>
      <c r="C33" s="42" t="str">
        <f t="shared" si="0"/>
        <v>CIRCULATION DES CABLES AERIENS &amp; ENTERRES</v>
      </c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</row>
    <row r="34" spans="2:52" x14ac:dyDescent="0.25">
      <c r="B34" s="41" t="str">
        <f>IF('Indice Plan'!$B32 = "", "", 'Indice Plan'!$B32)</f>
        <v>3110</v>
      </c>
      <c r="C34" s="42" t="str">
        <f t="shared" si="0"/>
        <v>CIRCULATION DES CABLES AERIENS &amp; ENTERRES</v>
      </c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</row>
    <row r="35" spans="2:52" x14ac:dyDescent="0.25">
      <c r="B35" s="41" t="str">
        <f>IF('Indice Plan'!$B33 = "", "", 'Indice Plan'!$B33)</f>
        <v>4010</v>
      </c>
      <c r="C35" s="42" t="str">
        <f t="shared" si="0"/>
        <v>STRUCTURE POUR EQUIPEMENTS ELECTRIQUES</v>
      </c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</row>
    <row r="36" spans="2:52" x14ac:dyDescent="0.25">
      <c r="B36" s="41" t="str">
        <f>IF('Indice Plan'!$B34 = "", "", 'Indice Plan'!$B34)</f>
        <v>4020</v>
      </c>
      <c r="C36" s="42" t="str">
        <f t="shared" si="0"/>
        <v>POSTE DE CONVERSION</v>
      </c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</row>
    <row r="37" spans="2:52" x14ac:dyDescent="0.25">
      <c r="B37" s="41" t="str">
        <f>IF('Indice Plan'!$B35 = "", "", 'Indice Plan'!$B35)</f>
        <v>4030</v>
      </c>
      <c r="C37" s="42" t="str">
        <f t="shared" ref="C37:C68" si="1">IF($B37 = "", "", VLOOKUP($B37,Ind_Toiture,2))</f>
        <v>POSTE DE LIVRAISON</v>
      </c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</row>
    <row r="38" spans="2:52" x14ac:dyDescent="0.25">
      <c r="B38" s="41" t="str">
        <f>IF('Indice Plan'!$B36 = "", "", 'Indice Plan'!$B36)</f>
        <v>5010</v>
      </c>
      <c r="C38" s="42" t="str">
        <f t="shared" si="1"/>
        <v>AMENAGEMENTS CHANTIER</v>
      </c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</row>
    <row r="39" spans="2:52" x14ac:dyDescent="0.25">
      <c r="B39" s="41" t="str">
        <f>IF('Indice Plan'!$B37 = "", "", 'Indice Plan'!$B37)</f>
        <v>5020</v>
      </c>
      <c r="C39" s="42" t="str">
        <f t="shared" si="1"/>
        <v>AMENAGEMENTS CHANTIER</v>
      </c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</row>
    <row r="40" spans="2:52" x14ac:dyDescent="0.25">
      <c r="B40" s="41" t="str">
        <f>IF('Indice Plan'!$B38 = "", "", 'Indice Plan'!$B38)</f>
        <v>7010</v>
      </c>
      <c r="C40" s="42" t="str">
        <f t="shared" si="1"/>
        <v>PLAN DE MAITRISE FONCIERE</v>
      </c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</row>
    <row r="41" spans="2:52" x14ac:dyDescent="0.25">
      <c r="B41" s="41" t="str">
        <f>IF('Indice Plan'!$B39 = "", "", 'Indice Plan'!$B39)</f>
        <v>7020</v>
      </c>
      <c r="C41" s="42" t="str">
        <f t="shared" si="1"/>
        <v>PLAN DES SERVITUDES</v>
      </c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</row>
    <row r="42" spans="2:52" x14ac:dyDescent="0.25">
      <c r="B42" s="41" t="str">
        <f>IF('Indice Plan'!$B40 = "", "", 'Indice Plan'!$B40)</f>
        <v>7030</v>
      </c>
      <c r="C42" s="42" t="str">
        <f t="shared" si="1"/>
        <v>IDENTIFICATION DES LOTS PRIS A BAIL</v>
      </c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</row>
    <row r="43" spans="2:52" x14ac:dyDescent="0.25">
      <c r="B43" s="41" t="str">
        <f>IF('Indice Plan'!$B41 = "", "", 'Indice Plan'!$B41)</f>
        <v>7040</v>
      </c>
      <c r="C43" s="42" t="str">
        <f t="shared" si="1"/>
        <v>IDENTIFICATION DU LOT DE VOLUME EXCLUT DU BAIL COMMERCIAL</v>
      </c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</row>
    <row r="44" spans="2:52" x14ac:dyDescent="0.25">
      <c r="B44" s="41" t="str">
        <f>IF('Indice Plan'!$B42 = "", "", 'Indice Plan'!$B42)</f>
        <v/>
      </c>
      <c r="C44" s="42" t="str">
        <f t="shared" si="1"/>
        <v/>
      </c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</row>
    <row r="45" spans="2:52" x14ac:dyDescent="0.25">
      <c r="B45" s="41" t="str">
        <f>IF('Indice Plan'!$B43 = "", "", 'Indice Plan'!$B43)</f>
        <v/>
      </c>
      <c r="C45" s="42" t="str">
        <f t="shared" si="1"/>
        <v/>
      </c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</row>
    <row r="46" spans="2:52" x14ac:dyDescent="0.25">
      <c r="B46" s="41" t="str">
        <f>IF('Indice Plan'!$B44 = "", "", 'Indice Plan'!$B44)</f>
        <v/>
      </c>
      <c r="C46" s="42" t="str">
        <f t="shared" si="1"/>
        <v/>
      </c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</row>
    <row r="47" spans="2:52" x14ac:dyDescent="0.25">
      <c r="B47" s="41" t="str">
        <f>IF('Indice Plan'!$B45 = "", "", 'Indice Plan'!$B45)</f>
        <v/>
      </c>
      <c r="C47" s="42" t="str">
        <f t="shared" si="1"/>
        <v/>
      </c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</row>
    <row r="48" spans="2:52" x14ac:dyDescent="0.25">
      <c r="B48" s="41" t="str">
        <f>IF('Indice Plan'!$B46 = "", "", 'Indice Plan'!$B46)</f>
        <v/>
      </c>
      <c r="C48" s="42" t="str">
        <f t="shared" si="1"/>
        <v/>
      </c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</row>
    <row r="49" spans="2:52" x14ac:dyDescent="0.25">
      <c r="B49" s="41" t="str">
        <f>IF('Indice Plan'!$B47 = "", "", 'Indice Plan'!$B47)</f>
        <v/>
      </c>
      <c r="C49" s="42" t="str">
        <f t="shared" si="1"/>
        <v/>
      </c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</row>
    <row r="50" spans="2:52" x14ac:dyDescent="0.25">
      <c r="B50" s="41" t="str">
        <f>IF('Indice Plan'!$B48 = "", "", 'Indice Plan'!$B48)</f>
        <v/>
      </c>
      <c r="C50" s="42" t="str">
        <f t="shared" si="1"/>
        <v/>
      </c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</row>
    <row r="51" spans="2:52" x14ac:dyDescent="0.25">
      <c r="B51" s="41" t="str">
        <f>IF('Indice Plan'!$B49 = "", "", 'Indice Plan'!$B49)</f>
        <v/>
      </c>
      <c r="C51" s="42" t="str">
        <f t="shared" si="1"/>
        <v/>
      </c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</row>
    <row r="52" spans="2:52" x14ac:dyDescent="0.25">
      <c r="B52" s="41" t="str">
        <f>IF('Indice Plan'!$B50 = "", "", 'Indice Plan'!$B50)</f>
        <v/>
      </c>
      <c r="C52" s="42" t="str">
        <f t="shared" si="1"/>
        <v/>
      </c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</row>
    <row r="53" spans="2:52" x14ac:dyDescent="0.25">
      <c r="B53" s="41" t="str">
        <f>IF('Indice Plan'!$B51 = "", "", 'Indice Plan'!$B51)</f>
        <v/>
      </c>
      <c r="C53" s="42" t="str">
        <f t="shared" si="1"/>
        <v/>
      </c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</row>
    <row r="54" spans="2:52" x14ac:dyDescent="0.25">
      <c r="B54" s="41" t="str">
        <f>IF('Indice Plan'!$B52 = "", "", 'Indice Plan'!$B52)</f>
        <v/>
      </c>
      <c r="C54" s="42" t="str">
        <f t="shared" si="1"/>
        <v/>
      </c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</row>
    <row r="55" spans="2:52" x14ac:dyDescent="0.25">
      <c r="B55" s="41" t="str">
        <f>IF('Indice Plan'!$B53 = "", "", 'Indice Plan'!$B53)</f>
        <v/>
      </c>
      <c r="C55" s="42" t="str">
        <f t="shared" si="1"/>
        <v/>
      </c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</row>
    <row r="56" spans="2:52" x14ac:dyDescent="0.25">
      <c r="B56" s="41" t="str">
        <f>IF('Indice Plan'!$B54 = "", "", 'Indice Plan'!$B54)</f>
        <v/>
      </c>
      <c r="C56" s="42" t="str">
        <f t="shared" si="1"/>
        <v/>
      </c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</row>
    <row r="57" spans="2:52" x14ac:dyDescent="0.25">
      <c r="B57" s="41" t="str">
        <f>IF('Indice Plan'!$B55 = "", "", 'Indice Plan'!$B55)</f>
        <v/>
      </c>
      <c r="C57" s="42" t="str">
        <f t="shared" si="1"/>
        <v/>
      </c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</row>
    <row r="58" spans="2:52" x14ac:dyDescent="0.25">
      <c r="B58" s="41" t="str">
        <f>IF('Indice Plan'!$B56 = "", "", 'Indice Plan'!$B56)</f>
        <v/>
      </c>
      <c r="C58" s="42" t="str">
        <f t="shared" si="1"/>
        <v/>
      </c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</row>
    <row r="59" spans="2:52" x14ac:dyDescent="0.25">
      <c r="B59" s="41" t="str">
        <f>IF('Indice Plan'!$B57 = "", "", 'Indice Plan'!$B57)</f>
        <v/>
      </c>
      <c r="C59" s="42" t="str">
        <f t="shared" si="1"/>
        <v/>
      </c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</row>
    <row r="60" spans="2:52" x14ac:dyDescent="0.25">
      <c r="B60" s="41" t="str">
        <f>IF('Indice Plan'!$B58 = "", "", 'Indice Plan'!$B58)</f>
        <v/>
      </c>
      <c r="C60" s="42" t="str">
        <f t="shared" si="1"/>
        <v/>
      </c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</row>
    <row r="61" spans="2:52" x14ac:dyDescent="0.25">
      <c r="B61" s="41" t="str">
        <f>IF('Indice Plan'!$B59 = "", "", 'Indice Plan'!$B59)</f>
        <v/>
      </c>
      <c r="C61" s="42" t="str">
        <f t="shared" si="1"/>
        <v/>
      </c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</row>
    <row r="62" spans="2:52" x14ac:dyDescent="0.25">
      <c r="B62" s="41" t="str">
        <f>IF('Indice Plan'!$B60 = "", "", 'Indice Plan'!$B60)</f>
        <v/>
      </c>
      <c r="C62" s="42" t="str">
        <f t="shared" si="1"/>
        <v/>
      </c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</row>
    <row r="63" spans="2:52" x14ac:dyDescent="0.25">
      <c r="B63" s="41" t="str">
        <f>IF('Indice Plan'!$B61 = "", "", 'Indice Plan'!$B61)</f>
        <v/>
      </c>
      <c r="C63" s="42" t="str">
        <f t="shared" si="1"/>
        <v/>
      </c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</row>
    <row r="64" spans="2:52" x14ac:dyDescent="0.25">
      <c r="B64" s="41" t="str">
        <f>IF('Indice Plan'!$B62 = "", "", 'Indice Plan'!$B62)</f>
        <v/>
      </c>
      <c r="C64" s="42" t="str">
        <f t="shared" si="1"/>
        <v/>
      </c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</row>
    <row r="65" spans="2:52" x14ac:dyDescent="0.25">
      <c r="B65" s="41" t="str">
        <f>IF('Indice Plan'!$B63 = "", "", 'Indice Plan'!$B63)</f>
        <v/>
      </c>
      <c r="C65" s="42" t="str">
        <f t="shared" si="1"/>
        <v/>
      </c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</row>
    <row r="66" spans="2:52" x14ac:dyDescent="0.25">
      <c r="B66" s="41" t="str">
        <f>IF('Indice Plan'!$B64 = "", "", 'Indice Plan'!$B64)</f>
        <v/>
      </c>
      <c r="C66" s="42" t="str">
        <f t="shared" si="1"/>
        <v/>
      </c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</row>
    <row r="67" spans="2:52" x14ac:dyDescent="0.25">
      <c r="B67" s="41" t="str">
        <f>IF('Indice Plan'!$B65 = "", "", 'Indice Plan'!$B65)</f>
        <v/>
      </c>
      <c r="C67" s="42" t="str">
        <f t="shared" si="1"/>
        <v/>
      </c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</row>
    <row r="68" spans="2:52" x14ac:dyDescent="0.25">
      <c r="B68" s="41" t="str">
        <f>IF('Indice Plan'!$B66 = "", "", 'Indice Plan'!$B66)</f>
        <v/>
      </c>
      <c r="C68" s="42" t="str">
        <f t="shared" si="1"/>
        <v/>
      </c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</row>
    <row r="69" spans="2:52" x14ac:dyDescent="0.25">
      <c r="B69" s="41" t="str">
        <f>IF('Indice Plan'!$B67 = "", "", 'Indice Plan'!$B67)</f>
        <v/>
      </c>
      <c r="C69" s="42" t="str">
        <f t="shared" ref="C69:C100" si="2">IF($B69 = "", "", VLOOKUP($B69,Ind_Toiture,2))</f>
        <v/>
      </c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</row>
    <row r="70" spans="2:52" x14ac:dyDescent="0.25">
      <c r="B70" s="41" t="str">
        <f>IF('Indice Plan'!$B68 = "", "", 'Indice Plan'!$B68)</f>
        <v/>
      </c>
      <c r="C70" s="42" t="str">
        <f t="shared" si="2"/>
        <v/>
      </c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</row>
    <row r="71" spans="2:52" x14ac:dyDescent="0.25">
      <c r="B71" s="41" t="str">
        <f>IF('Indice Plan'!$B69 = "", "", 'Indice Plan'!$B69)</f>
        <v/>
      </c>
      <c r="C71" s="42" t="str">
        <f t="shared" si="2"/>
        <v/>
      </c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</row>
    <row r="72" spans="2:52" x14ac:dyDescent="0.25">
      <c r="B72" s="41" t="str">
        <f>IF('Indice Plan'!$B70 = "", "", 'Indice Plan'!$B70)</f>
        <v/>
      </c>
      <c r="C72" s="42" t="str">
        <f t="shared" si="2"/>
        <v/>
      </c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</row>
    <row r="73" spans="2:52" x14ac:dyDescent="0.25">
      <c r="B73" s="41" t="str">
        <f>IF('Indice Plan'!$B71 = "", "", 'Indice Plan'!$B71)</f>
        <v/>
      </c>
      <c r="C73" s="42" t="str">
        <f t="shared" si="2"/>
        <v/>
      </c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</row>
    <row r="74" spans="2:52" x14ac:dyDescent="0.25">
      <c r="B74" s="41" t="str">
        <f>IF('Indice Plan'!$B72 = "", "", 'Indice Plan'!$B72)</f>
        <v/>
      </c>
      <c r="C74" s="42" t="str">
        <f t="shared" si="2"/>
        <v/>
      </c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</row>
    <row r="75" spans="2:52" x14ac:dyDescent="0.25">
      <c r="B75" s="41" t="str">
        <f>IF('Indice Plan'!$B73 = "", "", 'Indice Plan'!$B73)</f>
        <v/>
      </c>
      <c r="C75" s="42" t="str">
        <f t="shared" si="2"/>
        <v/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</row>
    <row r="76" spans="2:52" x14ac:dyDescent="0.25">
      <c r="B76" s="41" t="str">
        <f>IF('Indice Plan'!$B74 = "", "", 'Indice Plan'!$B74)</f>
        <v/>
      </c>
      <c r="C76" s="42" t="str">
        <f t="shared" si="2"/>
        <v/>
      </c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</row>
    <row r="77" spans="2:52" x14ac:dyDescent="0.25">
      <c r="B77" s="41" t="str">
        <f>IF('Indice Plan'!$B75 = "", "", 'Indice Plan'!$B75)</f>
        <v/>
      </c>
      <c r="C77" s="42" t="str">
        <f t="shared" si="2"/>
        <v/>
      </c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</row>
    <row r="78" spans="2:52" x14ac:dyDescent="0.25">
      <c r="B78" s="41" t="str">
        <f>IF('Indice Plan'!$B76 = "", "", 'Indice Plan'!$B76)</f>
        <v/>
      </c>
      <c r="C78" s="42" t="str">
        <f t="shared" si="2"/>
        <v/>
      </c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</row>
    <row r="79" spans="2:52" x14ac:dyDescent="0.25">
      <c r="B79" s="41" t="str">
        <f>IF('Indice Plan'!$B77 = "", "", 'Indice Plan'!$B77)</f>
        <v/>
      </c>
      <c r="C79" s="42" t="str">
        <f t="shared" si="2"/>
        <v/>
      </c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</row>
    <row r="80" spans="2:52" x14ac:dyDescent="0.25">
      <c r="B80" s="41" t="str">
        <f>IF('Indice Plan'!$B78 = "", "", 'Indice Plan'!$B78)</f>
        <v/>
      </c>
      <c r="C80" s="42" t="str">
        <f t="shared" si="2"/>
        <v/>
      </c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</row>
    <row r="81" spans="2:52" x14ac:dyDescent="0.25">
      <c r="B81" s="41" t="str">
        <f>IF('Indice Plan'!$B79 = "", "", 'Indice Plan'!$B79)</f>
        <v/>
      </c>
      <c r="C81" s="42" t="str">
        <f t="shared" si="2"/>
        <v/>
      </c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</row>
    <row r="82" spans="2:52" x14ac:dyDescent="0.25">
      <c r="B82" s="41" t="str">
        <f>IF('Indice Plan'!$B80 = "", "", 'Indice Plan'!$B80)</f>
        <v/>
      </c>
      <c r="C82" s="42" t="str">
        <f t="shared" si="2"/>
        <v/>
      </c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</row>
    <row r="83" spans="2:52" x14ac:dyDescent="0.25">
      <c r="B83" s="41" t="str">
        <f>IF('Indice Plan'!$B81 = "", "", 'Indice Plan'!$B81)</f>
        <v/>
      </c>
      <c r="C83" s="42" t="str">
        <f t="shared" si="2"/>
        <v/>
      </c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</row>
    <row r="84" spans="2:52" x14ac:dyDescent="0.25">
      <c r="B84" s="41" t="str">
        <f>IF('Indice Plan'!$B82 = "", "", 'Indice Plan'!$B82)</f>
        <v/>
      </c>
      <c r="C84" s="42" t="str">
        <f t="shared" si="2"/>
        <v/>
      </c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</row>
    <row r="85" spans="2:52" x14ac:dyDescent="0.25">
      <c r="B85" s="41" t="str">
        <f>IF('Indice Plan'!$B83 = "", "", 'Indice Plan'!$B83)</f>
        <v/>
      </c>
      <c r="C85" s="42" t="str">
        <f t="shared" si="2"/>
        <v/>
      </c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</row>
    <row r="86" spans="2:52" x14ac:dyDescent="0.25">
      <c r="B86" s="41" t="str">
        <f>IF('Indice Plan'!$B84 = "", "", 'Indice Plan'!$B84)</f>
        <v/>
      </c>
      <c r="C86" s="42" t="str">
        <f t="shared" si="2"/>
        <v/>
      </c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</row>
    <row r="87" spans="2:52" x14ac:dyDescent="0.25">
      <c r="B87" s="41" t="str">
        <f>IF('Indice Plan'!$B85 = "", "", 'Indice Plan'!$B85)</f>
        <v/>
      </c>
      <c r="C87" s="42" t="str">
        <f t="shared" si="2"/>
        <v/>
      </c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</row>
    <row r="88" spans="2:52" x14ac:dyDescent="0.25">
      <c r="B88" s="41" t="str">
        <f>IF('Indice Plan'!$B86 = "", "", 'Indice Plan'!$B86)</f>
        <v/>
      </c>
      <c r="C88" s="42" t="str">
        <f t="shared" si="2"/>
        <v/>
      </c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</row>
    <row r="89" spans="2:52" x14ac:dyDescent="0.25">
      <c r="B89" s="41" t="str">
        <f>IF('Indice Plan'!$B87 = "", "", 'Indice Plan'!$B87)</f>
        <v/>
      </c>
      <c r="C89" s="42" t="str">
        <f t="shared" si="2"/>
        <v/>
      </c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3"/>
    </row>
    <row r="90" spans="2:52" x14ac:dyDescent="0.25">
      <c r="B90" s="41" t="str">
        <f>IF('Indice Plan'!$B88 = "", "", 'Indice Plan'!$B88)</f>
        <v/>
      </c>
      <c r="C90" s="42" t="str">
        <f t="shared" si="2"/>
        <v/>
      </c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3"/>
    </row>
    <row r="91" spans="2:52" x14ac:dyDescent="0.25">
      <c r="B91" s="41" t="str">
        <f>IF('Indice Plan'!$B89 = "", "", 'Indice Plan'!$B89)</f>
        <v/>
      </c>
      <c r="C91" s="42" t="str">
        <f t="shared" si="2"/>
        <v/>
      </c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3"/>
    </row>
    <row r="92" spans="2:52" x14ac:dyDescent="0.25">
      <c r="B92" s="41" t="str">
        <f>IF('Indice Plan'!$B90 = "", "", 'Indice Plan'!$B90)</f>
        <v/>
      </c>
      <c r="C92" s="42" t="str">
        <f t="shared" si="2"/>
        <v/>
      </c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3"/>
    </row>
    <row r="93" spans="2:52" x14ac:dyDescent="0.25">
      <c r="B93" s="41" t="str">
        <f>IF('Indice Plan'!$B91 = "", "", 'Indice Plan'!$B91)</f>
        <v/>
      </c>
      <c r="C93" s="42" t="str">
        <f t="shared" si="2"/>
        <v/>
      </c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</row>
    <row r="94" spans="2:52" x14ac:dyDescent="0.25">
      <c r="B94" s="41" t="str">
        <f>IF('Indice Plan'!$B92 = "", "", 'Indice Plan'!$B92)</f>
        <v/>
      </c>
      <c r="C94" s="42" t="str">
        <f t="shared" si="2"/>
        <v/>
      </c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</row>
    <row r="95" spans="2:52" x14ac:dyDescent="0.25">
      <c r="B95" s="41" t="str">
        <f>IF('Indice Plan'!$B93 = "", "", 'Indice Plan'!$B93)</f>
        <v/>
      </c>
      <c r="C95" s="42" t="str">
        <f t="shared" si="2"/>
        <v/>
      </c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</row>
    <row r="96" spans="2:52" x14ac:dyDescent="0.25">
      <c r="B96" s="41" t="str">
        <f>IF('Indice Plan'!$B94 = "", "", 'Indice Plan'!$B94)</f>
        <v/>
      </c>
      <c r="C96" s="42" t="str">
        <f t="shared" si="2"/>
        <v/>
      </c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</row>
    <row r="97" spans="2:52" x14ac:dyDescent="0.25">
      <c r="B97" s="41" t="str">
        <f>IF('Indice Plan'!$B95 = "", "", 'Indice Plan'!$B95)</f>
        <v/>
      </c>
      <c r="C97" s="42" t="str">
        <f t="shared" si="2"/>
        <v/>
      </c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</row>
    <row r="98" spans="2:52" x14ac:dyDescent="0.25">
      <c r="B98" s="41" t="str">
        <f>IF('Indice Plan'!$B96 = "", "", 'Indice Plan'!$B96)</f>
        <v/>
      </c>
      <c r="C98" s="42" t="str">
        <f t="shared" si="2"/>
        <v/>
      </c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</row>
    <row r="99" spans="2:52" x14ac:dyDescent="0.25">
      <c r="B99" s="41" t="str">
        <f>IF('Indice Plan'!$B97 = "", "", 'Indice Plan'!$B97)</f>
        <v/>
      </c>
      <c r="C99" s="42" t="str">
        <f t="shared" si="2"/>
        <v/>
      </c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</row>
    <row r="100" spans="2:52" x14ac:dyDescent="0.25">
      <c r="B100" s="41" t="str">
        <f>IF('Indice Plan'!$B98 = "", "", 'Indice Plan'!$B98)</f>
        <v/>
      </c>
      <c r="C100" s="42" t="str">
        <f t="shared" si="2"/>
        <v/>
      </c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</row>
  </sheetData>
  <mergeCells count="2">
    <mergeCell ref="D4:AZ4"/>
    <mergeCell ref="B1:D2"/>
  </mergeCells>
  <conditionalFormatting sqref="D5:AZ100">
    <cfRule type="containsBlanks" dxfId="10" priority="2">
      <formula>LEN(TRIM(D5))=0</formula>
    </cfRule>
  </conditionalFormatting>
  <conditionalFormatting sqref="B5:C100">
    <cfRule type="containsBlanks" dxfId="9" priority="1">
      <formula>LEN(TRIM(B5))=0</formula>
    </cfRule>
  </conditionalFormatting>
  <dataValidations count="1">
    <dataValidation type="list" allowBlank="1" showInputMessage="1" showErrorMessage="1" sqref="D5:DZ100" xr:uid="{47C408FC-B45D-4044-8710-5488C1CDB888}">
      <formula1>List_Toiture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45EC0-4481-4F76-B819-98869E0B0897}">
  <sheetPr codeName="Feuil4"/>
  <dimension ref="B1:AZ100"/>
  <sheetViews>
    <sheetView showGridLines="0" zoomScale="70" zoomScaleNormal="7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G3" sqref="G3"/>
    </sheetView>
  </sheetViews>
  <sheetFormatPr baseColWidth="10" defaultColWidth="35.7109375" defaultRowHeight="15" x14ac:dyDescent="0.25"/>
  <cols>
    <col min="1" max="1" width="2.85546875" style="2" customWidth="1"/>
    <col min="2" max="2" width="8.5703125" style="2" customWidth="1"/>
    <col min="3" max="3" width="142.85546875" style="3" customWidth="1"/>
    <col min="4" max="16384" width="35.7109375" style="2"/>
  </cols>
  <sheetData>
    <row r="1" spans="2:52" ht="22.5" customHeight="1" x14ac:dyDescent="0.25">
      <c r="B1" s="90" t="s">
        <v>198</v>
      </c>
      <c r="C1" s="91"/>
      <c r="D1" s="92"/>
      <c r="E1" s="62" t="s">
        <v>307</v>
      </c>
      <c r="F1" s="62" t="s">
        <v>310</v>
      </c>
      <c r="G1" s="62" t="s">
        <v>309</v>
      </c>
    </row>
    <row r="2" spans="2:52" ht="22.5" customHeight="1" x14ac:dyDescent="0.25">
      <c r="B2" s="93"/>
      <c r="C2" s="94"/>
      <c r="D2" s="95"/>
      <c r="E2" s="63" t="s">
        <v>311</v>
      </c>
      <c r="F2" s="64">
        <v>43656</v>
      </c>
      <c r="G2" s="63" t="s">
        <v>433</v>
      </c>
    </row>
    <row r="4" spans="2:52" s="36" customFormat="1" ht="30" customHeight="1" x14ac:dyDescent="0.25">
      <c r="B4" s="65" t="s">
        <v>194</v>
      </c>
      <c r="C4" s="65" t="s">
        <v>195</v>
      </c>
      <c r="D4" s="89" t="s">
        <v>196</v>
      </c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</row>
    <row r="5" spans="2:52" x14ac:dyDescent="0.25">
      <c r="B5" s="40" t="str">
        <f>IF('Indice Plan'!$F3 = "", "", 'Indice Plan'!$F3)</f>
        <v>0010</v>
      </c>
      <c r="C5" s="39" t="str">
        <f t="shared" ref="C5:C36" si="0">IF($B5 = "", "", VLOOKUP($B5,Ind_CS,2))</f>
        <v>PLAN DE MASSE / SITUATION DU SITE / VUE AERIENNE</v>
      </c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</row>
    <row r="6" spans="2:52" x14ac:dyDescent="0.25">
      <c r="B6" s="41" t="str">
        <f>IF('Indice Plan'!$F4 = "", "", 'Indice Plan'!$F4)</f>
        <v>0020</v>
      </c>
      <c r="C6" s="44" t="str">
        <f t="shared" si="0"/>
        <v>PARCELLES CADASTRALES ET CONTRAINTES JURIDIQUES</v>
      </c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</row>
    <row r="7" spans="2:52" x14ac:dyDescent="0.25">
      <c r="B7" s="41" t="str">
        <f>IF('Indice Plan'!$F5 = "", "", 'Indice Plan'!$F5)</f>
        <v>0030</v>
      </c>
      <c r="C7" s="44" t="str">
        <f t="shared" si="0"/>
        <v>TOPOGRAPHIE - SITE ET ALENTOURS PROCHES</v>
      </c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</row>
    <row r="8" spans="2:52" x14ac:dyDescent="0.25">
      <c r="B8" s="41" t="str">
        <f>IF('Indice Plan'!$F6 = "", "", 'Indice Plan'!$F6)</f>
        <v>0040</v>
      </c>
      <c r="C8" s="44" t="str">
        <f t="shared" si="0"/>
        <v>RESEAUX ET VRD</v>
      </c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</row>
    <row r="9" spans="2:52" x14ac:dyDescent="0.25">
      <c r="B9" s="41" t="str">
        <f>IF('Indice Plan'!$F7 = "", "", 'Indice Plan'!$F7)</f>
        <v>0070</v>
      </c>
      <c r="C9" s="44" t="str">
        <f t="shared" si="0"/>
        <v>CONTRAINTES ENVIRONNEMENTALES - ZONES D'EXCLUSION / PROTECTION DES ESPECES</v>
      </c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  <c r="AZ9" s="45"/>
    </row>
    <row r="10" spans="2:52" x14ac:dyDescent="0.25">
      <c r="B10" s="41" t="str">
        <f>IF('Indice Plan'!$F8 = "", "", 'Indice Plan'!$F8)</f>
        <v>1010</v>
      </c>
      <c r="C10" s="44" t="str">
        <f t="shared" si="0"/>
        <v>ENJEUX ADMINISTRATIFS ET ENVIRONNEMENTAUX - [ACCES ET DISPOSITIFS POUR SECURITE INCENDIE] / [DGAC - ANALYSE DE LA GENE VISUELLE]</v>
      </c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</row>
    <row r="11" spans="2:52" x14ac:dyDescent="0.25">
      <c r="B11" s="41" t="str">
        <f>IF('Indice Plan'!$F9 = "", "", 'Indice Plan'!$F9)</f>
        <v>1020</v>
      </c>
      <c r="C11" s="44" t="str">
        <f t="shared" si="0"/>
        <v>IMPLANTATION GENERALE DU GENERATEUR PV</v>
      </c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</row>
    <row r="12" spans="2:52" x14ac:dyDescent="0.25">
      <c r="B12" s="41" t="str">
        <f>IF('Indice Plan'!$F10 = "", "", 'Indice Plan'!$F10)</f>
        <v>1030</v>
      </c>
      <c r="C12" s="44" t="str">
        <f t="shared" si="0"/>
        <v>IMPLANTATION DES TABLES &amp; MODULES</v>
      </c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</row>
    <row r="13" spans="2:52" x14ac:dyDescent="0.25">
      <c r="B13" s="41" t="str">
        <f>IF('Indice Plan'!$F11 = "", "", 'Indice Plan'!$F11)</f>
        <v>1040</v>
      </c>
      <c r="C13" s="44" t="str">
        <f t="shared" si="0"/>
        <v>GESTION DES OMBRAGES</v>
      </c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</row>
    <row r="14" spans="2:52" x14ac:dyDescent="0.25">
      <c r="B14" s="41" t="str">
        <f>IF('Indice Plan'!$F12 = "", "", 'Indice Plan'!$F12)</f>
        <v>1050</v>
      </c>
      <c r="C14" s="44" t="str">
        <f t="shared" si="0"/>
        <v>REPARTITION DES CHAMPS PV</v>
      </c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</row>
    <row r="15" spans="2:52" x14ac:dyDescent="0.25">
      <c r="B15" s="41" t="str">
        <f>IF('Indice Plan'!$F13 = "", "", 'Indice Plan'!$F13)</f>
        <v>1060</v>
      </c>
      <c r="C15" s="44" t="str">
        <f t="shared" si="0"/>
        <v>IMPLANTATION STATION METEO</v>
      </c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</row>
    <row r="16" spans="2:52" x14ac:dyDescent="0.25">
      <c r="B16" s="41" t="str">
        <f>IF('Indice Plan'!$F14 = "", "", 'Indice Plan'!$F14)</f>
        <v>1070</v>
      </c>
      <c r="C16" s="44" t="str">
        <f t="shared" si="0"/>
        <v>IMPLANTATION DU PROCEDE PV -SYSTÈME DE FIXATION DES MODULES</v>
      </c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  <c r="AY16" s="45"/>
      <c r="AZ16" s="45"/>
    </row>
    <row r="17" spans="2:52" x14ac:dyDescent="0.25">
      <c r="B17" s="41" t="str">
        <f>IF('Indice Plan'!$F15 = "", "", 'Indice Plan'!$F15)</f>
        <v>1100</v>
      </c>
      <c r="C17" s="44" t="str">
        <f t="shared" si="0"/>
        <v>COUPE SUR CHAMPS PV</v>
      </c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</row>
    <row r="18" spans="2:52" x14ac:dyDescent="0.25">
      <c r="B18" s="41" t="str">
        <f>IF('Indice Plan'!$F16 = "", "", 'Indice Plan'!$F16)</f>
        <v>1110</v>
      </c>
      <c r="C18" s="44" t="str">
        <f t="shared" si="0"/>
        <v>DEFRICHEMENT ET DEBROUSSAILLAGE</v>
      </c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45"/>
      <c r="AZ18" s="45"/>
    </row>
    <row r="19" spans="2:52" x14ac:dyDescent="0.25">
      <c r="B19" s="41" t="str">
        <f>IF('Indice Plan'!$F17 = "", "", 'Indice Plan'!$F17)</f>
        <v>1120</v>
      </c>
      <c r="C19" s="44" t="str">
        <f t="shared" si="0"/>
        <v>IMPLANTATION DES FONDATIONS - [PIEUX BATTUS, PIEUX MOULES, LONGRINES] - PRINCIPE ET TOLERANCES DE MISE EN ŒUVRE</v>
      </c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5"/>
      <c r="AZ19" s="45"/>
    </row>
    <row r="20" spans="2:52" x14ac:dyDescent="0.25">
      <c r="B20" s="41" t="str">
        <f>IF('Indice Plan'!$F18 = "", "", 'Indice Plan'!$F18)</f>
        <v>1130</v>
      </c>
      <c r="C20" s="44" t="str">
        <f t="shared" si="0"/>
        <v xml:space="preserve">LOCALISATION DES TRACKERS </v>
      </c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5"/>
    </row>
    <row r="21" spans="2:52" x14ac:dyDescent="0.25">
      <c r="B21" s="41" t="str">
        <f>IF('Indice Plan'!$F19 = "", "", 'Indice Plan'!$F19)</f>
        <v>1140</v>
      </c>
      <c r="C21" s="44" t="str">
        <f t="shared" si="0"/>
        <v>DISPOSITIFS DE SURETE</v>
      </c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  <c r="AZ21" s="45"/>
    </row>
    <row r="22" spans="2:52" x14ac:dyDescent="0.25">
      <c r="B22" s="41" t="str">
        <f>IF('Indice Plan'!$F20 = "", "", 'Indice Plan'!$F20)</f>
        <v>2010</v>
      </c>
      <c r="C22" s="44" t="str">
        <f t="shared" si="0"/>
        <v>SCHEMA UNIFILAIRE GENERAL</v>
      </c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</row>
    <row r="23" spans="2:52" x14ac:dyDescent="0.25">
      <c r="B23" s="41" t="str">
        <f>IF('Indice Plan'!$F21 = "", "", 'Indice Plan'!$F21)</f>
        <v>2020</v>
      </c>
      <c r="C23" s="44" t="str">
        <f t="shared" si="0"/>
        <v>SCHEMA UNIFILAIRE HTA</v>
      </c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5"/>
    </row>
    <row r="24" spans="2:52" x14ac:dyDescent="0.25">
      <c r="B24" s="41" t="str">
        <f>IF('Indice Plan'!$F22 = "", "", 'Indice Plan'!$F22)</f>
        <v>2030</v>
      </c>
      <c r="C24" s="44" t="str">
        <f t="shared" si="0"/>
        <v>SCHEMA UNIFILAIRE  DES AUXILIAIRES</v>
      </c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</row>
    <row r="25" spans="2:52" x14ac:dyDescent="0.25">
      <c r="B25" s="41" t="str">
        <f>IF('Indice Plan'!$F23 = "", "", 'Indice Plan'!$F23)</f>
        <v>2040</v>
      </c>
      <c r="C25" s="44" t="str">
        <f t="shared" si="0"/>
        <v>SCHEMA UNIFILAIRE  DE COMMUNICATION - VUE D'ENSEMBLE DU RESEAU</v>
      </c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  <c r="AZ25" s="45"/>
    </row>
    <row r="26" spans="2:52" x14ac:dyDescent="0.25">
      <c r="B26" s="41" t="str">
        <f>IF('Indice Plan'!$F24 = "", "", 'Indice Plan'!$F24)</f>
        <v>2050</v>
      </c>
      <c r="C26" s="44" t="str">
        <f t="shared" si="0"/>
        <v>SCHEMA UNIFILAIRE  DE COMMUNICATION - STATION METEO</v>
      </c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45"/>
      <c r="AY26" s="45"/>
      <c r="AZ26" s="45"/>
    </row>
    <row r="27" spans="2:52" x14ac:dyDescent="0.25">
      <c r="B27" s="41" t="str">
        <f>IF('Indice Plan'!$F25 = "", "", 'Indice Plan'!$F25)</f>
        <v>2060</v>
      </c>
      <c r="C27" s="44" t="str">
        <f t="shared" si="0"/>
        <v>SCHEMA UNIFILAIRE  DE COMMUNICATION - RESEAU FIBRE OPTIQUE</v>
      </c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5"/>
      <c r="AI27" s="45"/>
      <c r="AJ27" s="45"/>
      <c r="AK27" s="45"/>
      <c r="AL27" s="45"/>
      <c r="AM27" s="45"/>
      <c r="AN27" s="45"/>
      <c r="AO27" s="45"/>
      <c r="AP27" s="45"/>
      <c r="AQ27" s="45"/>
      <c r="AR27" s="45"/>
      <c r="AS27" s="45"/>
      <c r="AT27" s="45"/>
      <c r="AU27" s="45"/>
      <c r="AV27" s="45"/>
      <c r="AW27" s="45"/>
      <c r="AX27" s="45"/>
      <c r="AY27" s="45"/>
      <c r="AZ27" s="45"/>
    </row>
    <row r="28" spans="2:52" x14ac:dyDescent="0.25">
      <c r="B28" s="41" t="str">
        <f>IF('Indice Plan'!$F26 = "", "", 'Indice Plan'!$F26)</f>
        <v>3010</v>
      </c>
      <c r="C28" s="44" t="str">
        <f t="shared" si="0"/>
        <v>CABLAGE GENERAL CFo</v>
      </c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5"/>
      <c r="AI28" s="45"/>
      <c r="AJ28" s="45"/>
      <c r="AK28" s="45"/>
      <c r="AL28" s="45"/>
      <c r="AM28" s="45"/>
      <c r="AN28" s="45"/>
      <c r="AO28" s="45"/>
      <c r="AP28" s="45"/>
      <c r="AQ28" s="45"/>
      <c r="AR28" s="45"/>
      <c r="AS28" s="45"/>
      <c r="AT28" s="45"/>
      <c r="AU28" s="45"/>
      <c r="AV28" s="45"/>
      <c r="AW28" s="45"/>
      <c r="AX28" s="45"/>
      <c r="AY28" s="45"/>
      <c r="AZ28" s="45"/>
    </row>
    <row r="29" spans="2:52" x14ac:dyDescent="0.25">
      <c r="B29" s="41" t="str">
        <f>IF('Indice Plan'!$F27 = "", "", 'Indice Plan'!$F27)</f>
        <v>3020</v>
      </c>
      <c r="C29" s="44" t="str">
        <f t="shared" si="0"/>
        <v>CABLAGE GENERAL CFa</v>
      </c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5"/>
      <c r="AN29" s="45"/>
      <c r="AO29" s="45"/>
      <c r="AP29" s="45"/>
      <c r="AQ29" s="45"/>
      <c r="AR29" s="45"/>
      <c r="AS29" s="45"/>
      <c r="AT29" s="45"/>
      <c r="AU29" s="45"/>
      <c r="AV29" s="45"/>
      <c r="AW29" s="45"/>
      <c r="AX29" s="45"/>
      <c r="AY29" s="45"/>
      <c r="AZ29" s="45"/>
    </row>
    <row r="30" spans="2:52" x14ac:dyDescent="0.25">
      <c r="B30" s="41" t="str">
        <f>IF('Indice Plan'!$F28 = "", "", 'Indice Plan'!$F28)</f>
        <v>3030</v>
      </c>
      <c r="C30" s="44" t="str">
        <f t="shared" si="0"/>
        <v>CABLAGE CC DES CHAINES PV ENTRE MODULES</v>
      </c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  <c r="AI30" s="45"/>
      <c r="AJ30" s="45"/>
      <c r="AK30" s="45"/>
      <c r="AL30" s="45"/>
      <c r="AM30" s="45"/>
      <c r="AN30" s="45"/>
      <c r="AO30" s="45"/>
      <c r="AP30" s="45"/>
      <c r="AQ30" s="45"/>
      <c r="AR30" s="45"/>
      <c r="AS30" s="45"/>
      <c r="AT30" s="45"/>
      <c r="AU30" s="45"/>
      <c r="AV30" s="45"/>
      <c r="AW30" s="45"/>
      <c r="AX30" s="45"/>
      <c r="AY30" s="45"/>
      <c r="AZ30" s="45"/>
    </row>
    <row r="31" spans="2:52" x14ac:dyDescent="0.25">
      <c r="B31" s="41" t="str">
        <f>IF('Indice Plan'!$F29 = "", "", 'Indice Plan'!$F29)</f>
        <v>3040</v>
      </c>
      <c r="C31" s="44" t="str">
        <f t="shared" si="0"/>
        <v>CABLAGE CC DES CHAINES PV AUX BJ</v>
      </c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5"/>
      <c r="AN31" s="45"/>
      <c r="AO31" s="45"/>
      <c r="AP31" s="45"/>
      <c r="AQ31" s="45"/>
      <c r="AR31" s="45"/>
      <c r="AS31" s="45"/>
      <c r="AT31" s="45"/>
      <c r="AU31" s="45"/>
      <c r="AV31" s="45"/>
      <c r="AW31" s="45"/>
      <c r="AX31" s="45"/>
      <c r="AY31" s="45"/>
      <c r="AZ31" s="45"/>
    </row>
    <row r="32" spans="2:52" x14ac:dyDescent="0.25">
      <c r="B32" s="41" t="str">
        <f>IF('Indice Plan'!$F30 = "", "", 'Indice Plan'!$F30)</f>
        <v>3050</v>
      </c>
      <c r="C32" s="44" t="str">
        <f t="shared" si="0"/>
        <v xml:space="preserve">RACCORDEMENT AU RESEAU PUBLIC DE DISTRIBUTION - DETAIL DU POINT DE LIVRAISON </v>
      </c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5"/>
      <c r="AN32" s="45"/>
      <c r="AO32" s="45"/>
      <c r="AP32" s="45"/>
      <c r="AQ32" s="45"/>
      <c r="AR32" s="45"/>
      <c r="AS32" s="45"/>
      <c r="AT32" s="45"/>
      <c r="AU32" s="45"/>
      <c r="AV32" s="45"/>
      <c r="AW32" s="45"/>
      <c r="AX32" s="45"/>
      <c r="AY32" s="45"/>
      <c r="AZ32" s="45"/>
    </row>
    <row r="33" spans="2:52" x14ac:dyDescent="0.25">
      <c r="B33" s="41" t="str">
        <f>IF('Indice Plan'!$F31 = "", "", 'Indice Plan'!$F31)</f>
        <v>3055</v>
      </c>
      <c r="C33" s="44" t="str">
        <f t="shared" si="0"/>
        <v>RACCORDEMENT AU RESEAU PUBLIC DE DISTRIBUTION - TRACE ERDF EN VOIRIE PUBLIQUE</v>
      </c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5"/>
      <c r="AN33" s="45"/>
      <c r="AO33" s="45"/>
      <c r="AP33" s="45"/>
      <c r="AQ33" s="45"/>
      <c r="AR33" s="45"/>
      <c r="AS33" s="45"/>
      <c r="AT33" s="45"/>
      <c r="AU33" s="45"/>
      <c r="AV33" s="45"/>
      <c r="AW33" s="45"/>
      <c r="AX33" s="45"/>
      <c r="AY33" s="45"/>
      <c r="AZ33" s="45"/>
    </row>
    <row r="34" spans="2:52" x14ac:dyDescent="0.25">
      <c r="B34" s="41" t="str">
        <f>IF('Indice Plan'!$F32 = "", "", 'Indice Plan'!$F32)</f>
        <v>3060</v>
      </c>
      <c r="C34" s="44" t="str">
        <f t="shared" si="0"/>
        <v>LIAISONS EQUIPOTENTIELLES</v>
      </c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5"/>
      <c r="AI34" s="45"/>
      <c r="AJ34" s="45"/>
      <c r="AK34" s="45"/>
      <c r="AL34" s="45"/>
      <c r="AM34" s="45"/>
      <c r="AN34" s="45"/>
      <c r="AO34" s="45"/>
      <c r="AP34" s="45"/>
      <c r="AQ34" s="45"/>
      <c r="AR34" s="45"/>
      <c r="AS34" s="45"/>
      <c r="AT34" s="45"/>
      <c r="AU34" s="45"/>
      <c r="AV34" s="45"/>
      <c r="AW34" s="45"/>
      <c r="AX34" s="45"/>
      <c r="AY34" s="45"/>
      <c r="AZ34" s="45"/>
    </row>
    <row r="35" spans="2:52" x14ac:dyDescent="0.25">
      <c r="B35" s="41" t="str">
        <f>IF('Indice Plan'!$F33 = "", "", 'Indice Plan'!$F33)</f>
        <v>3070</v>
      </c>
      <c r="C35" s="44" t="str">
        <f t="shared" si="0"/>
        <v>CABLAGE DE LA VIDEOSURVEILLANCE</v>
      </c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5"/>
      <c r="AI35" s="45"/>
      <c r="AJ35" s="45"/>
      <c r="AK35" s="45"/>
      <c r="AL35" s="45"/>
      <c r="AM35" s="45"/>
      <c r="AN35" s="45"/>
      <c r="AO35" s="45"/>
      <c r="AP35" s="45"/>
      <c r="AQ35" s="45"/>
      <c r="AR35" s="45"/>
      <c r="AS35" s="45"/>
      <c r="AT35" s="45"/>
      <c r="AU35" s="45"/>
      <c r="AV35" s="45"/>
      <c r="AW35" s="45"/>
      <c r="AX35" s="45"/>
      <c r="AY35" s="45"/>
      <c r="AZ35" s="45"/>
    </row>
    <row r="36" spans="2:52" x14ac:dyDescent="0.25">
      <c r="B36" s="41" t="str">
        <f>IF('Indice Plan'!$F34 = "", "", 'Indice Plan'!$F34)</f>
        <v>3080</v>
      </c>
      <c r="C36" s="44" t="str">
        <f t="shared" si="0"/>
        <v>CABLAGE DES MOTEURS</v>
      </c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5"/>
      <c r="AI36" s="45"/>
      <c r="AJ36" s="45"/>
      <c r="AK36" s="45"/>
      <c r="AL36" s="45"/>
      <c r="AM36" s="45"/>
      <c r="AN36" s="45"/>
      <c r="AO36" s="45"/>
      <c r="AP36" s="45"/>
      <c r="AQ36" s="45"/>
      <c r="AR36" s="45"/>
      <c r="AS36" s="45"/>
      <c r="AT36" s="45"/>
      <c r="AU36" s="45"/>
      <c r="AV36" s="45"/>
      <c r="AW36" s="45"/>
      <c r="AX36" s="45"/>
      <c r="AY36" s="45"/>
      <c r="AZ36" s="45"/>
    </row>
    <row r="37" spans="2:52" x14ac:dyDescent="0.25">
      <c r="B37" s="41" t="str">
        <f>IF('Indice Plan'!$F35 = "", "", 'Indice Plan'!$F35)</f>
        <v>3100</v>
      </c>
      <c r="C37" s="44" t="str">
        <f t="shared" ref="C37:C68" si="1">IF($B37 = "", "", VLOOKUP($B37,Ind_CS,2))</f>
        <v>CIRCULATION DES CABLES AERIENS &amp; ENTERRES</v>
      </c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  <c r="AI37" s="45"/>
      <c r="AJ37" s="45"/>
      <c r="AK37" s="45"/>
      <c r="AL37" s="45"/>
      <c r="AM37" s="45"/>
      <c r="AN37" s="45"/>
      <c r="AO37" s="45"/>
      <c r="AP37" s="45"/>
      <c r="AQ37" s="45"/>
      <c r="AR37" s="45"/>
      <c r="AS37" s="45"/>
      <c r="AT37" s="45"/>
      <c r="AU37" s="45"/>
      <c r="AV37" s="45"/>
      <c r="AW37" s="45"/>
      <c r="AX37" s="45"/>
      <c r="AY37" s="45"/>
      <c r="AZ37" s="45"/>
    </row>
    <row r="38" spans="2:52" x14ac:dyDescent="0.25">
      <c r="B38" s="41" t="str">
        <f>IF('Indice Plan'!$F36 = "", "", 'Indice Plan'!$F36)</f>
        <v>3110</v>
      </c>
      <c r="C38" s="44" t="str">
        <f t="shared" si="1"/>
        <v>CIRCULATION DES CABLES AERIENS &amp; ENTERRES</v>
      </c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5"/>
      <c r="AN38" s="45"/>
      <c r="AO38" s="45"/>
      <c r="AP38" s="45"/>
      <c r="AQ38" s="45"/>
      <c r="AR38" s="45"/>
      <c r="AS38" s="45"/>
      <c r="AT38" s="45"/>
      <c r="AU38" s="45"/>
      <c r="AV38" s="45"/>
      <c r="AW38" s="45"/>
      <c r="AX38" s="45"/>
      <c r="AY38" s="45"/>
      <c r="AZ38" s="45"/>
    </row>
    <row r="39" spans="2:52" x14ac:dyDescent="0.25">
      <c r="B39" s="41" t="str">
        <f>IF('Indice Plan'!$F37 = "", "", 'Indice Plan'!$F37)</f>
        <v>4010</v>
      </c>
      <c r="C39" s="44" t="str">
        <f t="shared" si="1"/>
        <v>STRUCTURE POUR EQUIPEMENTS ELECTRIQUES</v>
      </c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5"/>
      <c r="AI39" s="45"/>
      <c r="AJ39" s="45"/>
      <c r="AK39" s="45"/>
      <c r="AL39" s="45"/>
      <c r="AM39" s="45"/>
      <c r="AN39" s="45"/>
      <c r="AO39" s="45"/>
      <c r="AP39" s="45"/>
      <c r="AQ39" s="45"/>
      <c r="AR39" s="45"/>
      <c r="AS39" s="45"/>
      <c r="AT39" s="45"/>
      <c r="AU39" s="45"/>
      <c r="AV39" s="45"/>
      <c r="AW39" s="45"/>
      <c r="AX39" s="45"/>
      <c r="AY39" s="45"/>
      <c r="AZ39" s="45"/>
    </row>
    <row r="40" spans="2:52" x14ac:dyDescent="0.25">
      <c r="B40" s="41" t="str">
        <f>IF('Indice Plan'!$F38 = "", "", 'Indice Plan'!$F38)</f>
        <v>4020</v>
      </c>
      <c r="C40" s="44" t="str">
        <f t="shared" si="1"/>
        <v>POSTE DE CONVERSION</v>
      </c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5"/>
      <c r="AI40" s="45"/>
      <c r="AJ40" s="45"/>
      <c r="AK40" s="45"/>
      <c r="AL40" s="45"/>
      <c r="AM40" s="45"/>
      <c r="AN40" s="45"/>
      <c r="AO40" s="45"/>
      <c r="AP40" s="45"/>
      <c r="AQ40" s="45"/>
      <c r="AR40" s="45"/>
      <c r="AS40" s="45"/>
      <c r="AT40" s="45"/>
      <c r="AU40" s="45"/>
      <c r="AV40" s="45"/>
      <c r="AW40" s="45"/>
      <c r="AX40" s="45"/>
      <c r="AY40" s="45"/>
      <c r="AZ40" s="45"/>
    </row>
    <row r="41" spans="2:52" x14ac:dyDescent="0.25">
      <c r="B41" s="41" t="str">
        <f>IF('Indice Plan'!$F39 = "", "", 'Indice Plan'!$F39)</f>
        <v>4030</v>
      </c>
      <c r="C41" s="44" t="str">
        <f t="shared" si="1"/>
        <v>POSTE DE LIVRAISON</v>
      </c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5"/>
      <c r="AN41" s="45"/>
      <c r="AO41" s="45"/>
      <c r="AP41" s="45"/>
      <c r="AQ41" s="45"/>
      <c r="AR41" s="45"/>
      <c r="AS41" s="45"/>
      <c r="AT41" s="45"/>
      <c r="AU41" s="45"/>
      <c r="AV41" s="45"/>
      <c r="AW41" s="45"/>
      <c r="AX41" s="45"/>
      <c r="AY41" s="45"/>
      <c r="AZ41" s="45"/>
    </row>
    <row r="42" spans="2:52" x14ac:dyDescent="0.25">
      <c r="B42" s="41" t="str">
        <f>IF('Indice Plan'!$F40 = "", "", 'Indice Plan'!$F40)</f>
        <v>5010</v>
      </c>
      <c r="C42" s="44" t="str">
        <f t="shared" si="1"/>
        <v>AMENAGEMENTS CHANTIER - BASE VIE &amp;  ZONES DE STOCKAGE</v>
      </c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5"/>
      <c r="AI42" s="45"/>
      <c r="AJ42" s="45"/>
      <c r="AK42" s="45"/>
      <c r="AL42" s="45"/>
      <c r="AM42" s="45"/>
      <c r="AN42" s="45"/>
      <c r="AO42" s="45"/>
      <c r="AP42" s="45"/>
      <c r="AQ42" s="45"/>
      <c r="AR42" s="45"/>
      <c r="AS42" s="45"/>
      <c r="AT42" s="45"/>
      <c r="AU42" s="45"/>
      <c r="AV42" s="45"/>
      <c r="AW42" s="45"/>
      <c r="AX42" s="45"/>
      <c r="AY42" s="45"/>
      <c r="AZ42" s="45"/>
    </row>
    <row r="43" spans="2:52" x14ac:dyDescent="0.25">
      <c r="B43" s="41" t="str">
        <f>IF('Indice Plan'!$F41 = "", "", 'Indice Plan'!$F41)</f>
        <v>5030</v>
      </c>
      <c r="C43" s="44" t="str">
        <f t="shared" si="1"/>
        <v>AMENAGEMENTS CHANTIER - CIRCULATION DES ENGINS ET LEVAGE DES POSTES</v>
      </c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5"/>
      <c r="AI43" s="45"/>
      <c r="AJ43" s="45"/>
      <c r="AK43" s="45"/>
      <c r="AL43" s="45"/>
      <c r="AM43" s="45"/>
      <c r="AN43" s="45"/>
      <c r="AO43" s="45"/>
      <c r="AP43" s="45"/>
      <c r="AQ43" s="45"/>
      <c r="AR43" s="45"/>
      <c r="AS43" s="45"/>
      <c r="AT43" s="45"/>
      <c r="AU43" s="45"/>
      <c r="AV43" s="45"/>
      <c r="AW43" s="45"/>
      <c r="AX43" s="45"/>
      <c r="AY43" s="45"/>
      <c r="AZ43" s="45"/>
    </row>
    <row r="44" spans="2:52" x14ac:dyDescent="0.25">
      <c r="B44" s="41" t="str">
        <f>IF('Indice Plan'!$F42 = "", "", 'Indice Plan'!$F42)</f>
        <v>6010</v>
      </c>
      <c r="C44" s="44" t="str">
        <f t="shared" si="1"/>
        <v xml:space="preserve">PLATEFORMES PROJETEES - DEBLAIS &amp; REMBLAIS </v>
      </c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  <c r="AP44" s="45"/>
      <c r="AQ44" s="45"/>
      <c r="AR44" s="45"/>
      <c r="AS44" s="45"/>
      <c r="AT44" s="45"/>
      <c r="AU44" s="45"/>
      <c r="AV44" s="45"/>
      <c r="AW44" s="45"/>
      <c r="AX44" s="45"/>
      <c r="AY44" s="45"/>
      <c r="AZ44" s="45"/>
    </row>
    <row r="45" spans="2:52" x14ac:dyDescent="0.25">
      <c r="B45" s="41" t="str">
        <f>IF('Indice Plan'!$F43 = "", "", 'Indice Plan'!$F43)</f>
        <v>6020</v>
      </c>
      <c r="C45" s="44" t="str">
        <f t="shared" si="1"/>
        <v xml:space="preserve">NIVELLEMENT ET PRINCIPE DE GESTION DES EAUX PLUVIALES </v>
      </c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</row>
    <row r="46" spans="2:52" x14ac:dyDescent="0.25">
      <c r="B46" s="41" t="str">
        <f>IF('Indice Plan'!$F44 = "", "", 'Indice Plan'!$F44)</f>
        <v>6030</v>
      </c>
      <c r="C46" s="44" t="str">
        <f t="shared" si="1"/>
        <v>COUPE SUR TERRAIN PROJETE</v>
      </c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  <c r="AJ46" s="45"/>
      <c r="AK46" s="45"/>
      <c r="AL46" s="45"/>
      <c r="AM46" s="45"/>
      <c r="AN46" s="45"/>
      <c r="AO46" s="45"/>
      <c r="AP46" s="45"/>
      <c r="AQ46" s="45"/>
      <c r="AR46" s="45"/>
      <c r="AS46" s="45"/>
      <c r="AT46" s="45"/>
      <c r="AU46" s="45"/>
      <c r="AV46" s="45"/>
      <c r="AW46" s="45"/>
      <c r="AX46" s="45"/>
      <c r="AY46" s="45"/>
      <c r="AZ46" s="45"/>
    </row>
    <row r="47" spans="2:52" x14ac:dyDescent="0.25">
      <c r="B47" s="41" t="str">
        <f>IF('Indice Plan'!$F45 = "", "", 'Indice Plan'!$F45)</f>
        <v>7010</v>
      </c>
      <c r="C47" s="44" t="str">
        <f t="shared" si="1"/>
        <v>PLAN DE MAITRISE FONCIERE</v>
      </c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5"/>
      <c r="AI47" s="45"/>
      <c r="AJ47" s="45"/>
      <c r="AK47" s="45"/>
      <c r="AL47" s="45"/>
      <c r="AM47" s="45"/>
      <c r="AN47" s="45"/>
      <c r="AO47" s="45"/>
      <c r="AP47" s="45"/>
      <c r="AQ47" s="45"/>
      <c r="AR47" s="45"/>
      <c r="AS47" s="45"/>
      <c r="AT47" s="45"/>
      <c r="AU47" s="45"/>
      <c r="AV47" s="45"/>
      <c r="AW47" s="45"/>
      <c r="AX47" s="45"/>
      <c r="AY47" s="45"/>
      <c r="AZ47" s="45"/>
    </row>
    <row r="48" spans="2:52" x14ac:dyDescent="0.25">
      <c r="B48" s="41" t="str">
        <f>IF('Indice Plan'!$F46 = "", "", 'Indice Plan'!$F46)</f>
        <v>7020</v>
      </c>
      <c r="C48" s="44" t="str">
        <f t="shared" si="1"/>
        <v>PLAN DES SERVITUDES</v>
      </c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5"/>
      <c r="AI48" s="45"/>
      <c r="AJ48" s="45"/>
      <c r="AK48" s="45"/>
      <c r="AL48" s="45"/>
      <c r="AM48" s="45"/>
      <c r="AN48" s="45"/>
      <c r="AO48" s="45"/>
      <c r="AP48" s="45"/>
      <c r="AQ48" s="45"/>
      <c r="AR48" s="45"/>
      <c r="AS48" s="45"/>
      <c r="AT48" s="45"/>
      <c r="AU48" s="45"/>
      <c r="AV48" s="45"/>
      <c r="AW48" s="45"/>
      <c r="AX48" s="45"/>
      <c r="AY48" s="45"/>
      <c r="AZ48" s="45"/>
    </row>
    <row r="49" spans="2:52" x14ac:dyDescent="0.25">
      <c r="B49" s="41" t="str">
        <f>IF('Indice Plan'!$F47 = "", "", 'Indice Plan'!$F47)</f>
        <v>7030</v>
      </c>
      <c r="C49" s="44" t="str">
        <f t="shared" si="1"/>
        <v>IDENTIFICATION DES LOTS PRIS A BAIL</v>
      </c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5"/>
      <c r="AI49" s="45"/>
      <c r="AJ49" s="45"/>
      <c r="AK49" s="45"/>
      <c r="AL49" s="45"/>
      <c r="AM49" s="45"/>
      <c r="AN49" s="45"/>
      <c r="AO49" s="45"/>
      <c r="AP49" s="45"/>
      <c r="AQ49" s="45"/>
      <c r="AR49" s="45"/>
      <c r="AS49" s="45"/>
      <c r="AT49" s="45"/>
      <c r="AU49" s="45"/>
      <c r="AV49" s="45"/>
      <c r="AW49" s="45"/>
      <c r="AX49" s="45"/>
      <c r="AY49" s="45"/>
      <c r="AZ49" s="45"/>
    </row>
    <row r="50" spans="2:52" x14ac:dyDescent="0.25">
      <c r="B50" s="41" t="str">
        <f>IF('Indice Plan'!$F48 = "", "", 'Indice Plan'!$F48)</f>
        <v>7040</v>
      </c>
      <c r="C50" s="44" t="str">
        <f t="shared" si="1"/>
        <v>IDENTIFICATION DU LOT DE VOLUME EXCLUT DU BAIL COMMERCIAL</v>
      </c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5"/>
      <c r="AM50" s="45"/>
      <c r="AN50" s="45"/>
      <c r="AO50" s="45"/>
      <c r="AP50" s="45"/>
      <c r="AQ50" s="45"/>
      <c r="AR50" s="45"/>
      <c r="AS50" s="45"/>
      <c r="AT50" s="45"/>
      <c r="AU50" s="45"/>
      <c r="AV50" s="45"/>
      <c r="AW50" s="45"/>
      <c r="AX50" s="45"/>
      <c r="AY50" s="45"/>
      <c r="AZ50" s="45"/>
    </row>
    <row r="51" spans="2:52" x14ac:dyDescent="0.25">
      <c r="B51" s="41" t="str">
        <f>IF('Indice Plan'!$F49 = "", "", 'Indice Plan'!$F49)</f>
        <v/>
      </c>
      <c r="C51" s="44" t="str">
        <f t="shared" si="1"/>
        <v/>
      </c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5"/>
      <c r="AX51" s="45"/>
      <c r="AY51" s="45"/>
      <c r="AZ51" s="45"/>
    </row>
    <row r="52" spans="2:52" x14ac:dyDescent="0.25">
      <c r="B52" s="41" t="str">
        <f>IF('Indice Plan'!$F50 = "", "", 'Indice Plan'!$F50)</f>
        <v/>
      </c>
      <c r="C52" s="44" t="str">
        <f t="shared" si="1"/>
        <v/>
      </c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45"/>
      <c r="AW52" s="45"/>
      <c r="AX52" s="45"/>
      <c r="AY52" s="45"/>
      <c r="AZ52" s="45"/>
    </row>
    <row r="53" spans="2:52" x14ac:dyDescent="0.25">
      <c r="B53" s="41" t="str">
        <f>IF('Indice Plan'!$F51 = "", "", 'Indice Plan'!$F51)</f>
        <v/>
      </c>
      <c r="C53" s="44" t="str">
        <f t="shared" si="1"/>
        <v/>
      </c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5"/>
      <c r="AX53" s="45"/>
      <c r="AY53" s="45"/>
      <c r="AZ53" s="45"/>
    </row>
    <row r="54" spans="2:52" x14ac:dyDescent="0.25">
      <c r="B54" s="41" t="str">
        <f>IF('Indice Plan'!$F52 = "", "", 'Indice Plan'!$F52)</f>
        <v/>
      </c>
      <c r="C54" s="44" t="str">
        <f t="shared" si="1"/>
        <v/>
      </c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5"/>
      <c r="AN54" s="45"/>
      <c r="AO54" s="45"/>
      <c r="AP54" s="45"/>
      <c r="AQ54" s="45"/>
      <c r="AR54" s="45"/>
      <c r="AS54" s="45"/>
      <c r="AT54" s="45"/>
      <c r="AU54" s="45"/>
      <c r="AV54" s="45"/>
      <c r="AW54" s="45"/>
      <c r="AX54" s="45"/>
      <c r="AY54" s="45"/>
      <c r="AZ54" s="45"/>
    </row>
    <row r="55" spans="2:52" x14ac:dyDescent="0.25">
      <c r="B55" s="41" t="str">
        <f>IF('Indice Plan'!$F53 = "", "", 'Indice Plan'!$F53)</f>
        <v/>
      </c>
      <c r="C55" s="44" t="str">
        <f t="shared" si="1"/>
        <v/>
      </c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</row>
    <row r="56" spans="2:52" x14ac:dyDescent="0.25">
      <c r="B56" s="41" t="str">
        <f>IF('Indice Plan'!$F54 = "", "", 'Indice Plan'!$F54)</f>
        <v/>
      </c>
      <c r="C56" s="44" t="str">
        <f t="shared" si="1"/>
        <v/>
      </c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</row>
    <row r="57" spans="2:52" x14ac:dyDescent="0.25">
      <c r="B57" s="41" t="str">
        <f>IF('Indice Plan'!$F55 = "", "", 'Indice Plan'!$F55)</f>
        <v/>
      </c>
      <c r="C57" s="44" t="str">
        <f t="shared" si="1"/>
        <v/>
      </c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  <c r="AX57" s="45"/>
      <c r="AY57" s="45"/>
      <c r="AZ57" s="45"/>
    </row>
    <row r="58" spans="2:52" x14ac:dyDescent="0.25">
      <c r="B58" s="41" t="str">
        <f>IF('Indice Plan'!$F56 = "", "", 'Indice Plan'!$F56)</f>
        <v/>
      </c>
      <c r="C58" s="44" t="str">
        <f t="shared" si="1"/>
        <v/>
      </c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  <c r="AX58" s="45"/>
      <c r="AY58" s="45"/>
      <c r="AZ58" s="45"/>
    </row>
    <row r="59" spans="2:52" x14ac:dyDescent="0.25">
      <c r="B59" s="41" t="str">
        <f>IF('Indice Plan'!$F57 = "", "", 'Indice Plan'!$F57)</f>
        <v/>
      </c>
      <c r="C59" s="44" t="str">
        <f t="shared" si="1"/>
        <v/>
      </c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  <c r="AX59" s="45"/>
      <c r="AY59" s="45"/>
      <c r="AZ59" s="45"/>
    </row>
    <row r="60" spans="2:52" x14ac:dyDescent="0.25">
      <c r="B60" s="41" t="str">
        <f>IF('Indice Plan'!$F58 = "", "", 'Indice Plan'!$F58)</f>
        <v/>
      </c>
      <c r="C60" s="44" t="str">
        <f t="shared" si="1"/>
        <v/>
      </c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  <c r="AX60" s="45"/>
      <c r="AY60" s="45"/>
      <c r="AZ60" s="45"/>
    </row>
    <row r="61" spans="2:52" x14ac:dyDescent="0.25">
      <c r="B61" s="41" t="str">
        <f>IF('Indice Plan'!$F59 = "", "", 'Indice Plan'!$F59)</f>
        <v/>
      </c>
      <c r="C61" s="44" t="str">
        <f t="shared" si="1"/>
        <v/>
      </c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45"/>
      <c r="AZ61" s="45"/>
    </row>
    <row r="62" spans="2:52" x14ac:dyDescent="0.25">
      <c r="B62" s="41" t="str">
        <f>IF('Indice Plan'!$F60 = "", "", 'Indice Plan'!$F60)</f>
        <v/>
      </c>
      <c r="C62" s="44" t="str">
        <f t="shared" si="1"/>
        <v/>
      </c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45"/>
      <c r="AZ62" s="45"/>
    </row>
    <row r="63" spans="2:52" x14ac:dyDescent="0.25">
      <c r="B63" s="41" t="str">
        <f>IF('Indice Plan'!$F61 = "", "", 'Indice Plan'!$F61)</f>
        <v/>
      </c>
      <c r="C63" s="44" t="str">
        <f t="shared" si="1"/>
        <v/>
      </c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</row>
    <row r="64" spans="2:52" x14ac:dyDescent="0.25">
      <c r="B64" s="41" t="str">
        <f>IF('Indice Plan'!$F62 = "", "", 'Indice Plan'!$F62)</f>
        <v/>
      </c>
      <c r="C64" s="44" t="str">
        <f t="shared" si="1"/>
        <v/>
      </c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45"/>
      <c r="AZ64" s="45"/>
    </row>
    <row r="65" spans="2:52" x14ac:dyDescent="0.25">
      <c r="B65" s="41" t="str">
        <f>IF('Indice Plan'!$F63 = "", "", 'Indice Plan'!$F63)</f>
        <v/>
      </c>
      <c r="C65" s="44" t="str">
        <f t="shared" si="1"/>
        <v/>
      </c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45"/>
      <c r="AZ65" s="45"/>
    </row>
    <row r="66" spans="2:52" x14ac:dyDescent="0.25">
      <c r="B66" s="41" t="str">
        <f>IF('Indice Plan'!$F64 = "", "", 'Indice Plan'!$F64)</f>
        <v/>
      </c>
      <c r="C66" s="44" t="str">
        <f t="shared" si="1"/>
        <v/>
      </c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  <c r="AZ66" s="45"/>
    </row>
    <row r="67" spans="2:52" x14ac:dyDescent="0.25">
      <c r="B67" s="41" t="str">
        <f>IF('Indice Plan'!$F65 = "", "", 'Indice Plan'!$F65)</f>
        <v/>
      </c>
      <c r="C67" s="44" t="str">
        <f t="shared" si="1"/>
        <v/>
      </c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  <c r="AK67" s="45"/>
      <c r="AL67" s="45"/>
      <c r="AM67" s="45"/>
      <c r="AN67" s="45"/>
      <c r="AO67" s="45"/>
      <c r="AP67" s="45"/>
      <c r="AQ67" s="45"/>
      <c r="AR67" s="45"/>
      <c r="AS67" s="45"/>
      <c r="AT67" s="45"/>
      <c r="AU67" s="45"/>
      <c r="AV67" s="45"/>
      <c r="AW67" s="45"/>
      <c r="AX67" s="45"/>
      <c r="AY67" s="45"/>
      <c r="AZ67" s="45"/>
    </row>
    <row r="68" spans="2:52" x14ac:dyDescent="0.25">
      <c r="B68" s="41" t="str">
        <f>IF('Indice Plan'!$F66 = "", "", 'Indice Plan'!$F66)</f>
        <v/>
      </c>
      <c r="C68" s="44" t="str">
        <f t="shared" si="1"/>
        <v/>
      </c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  <c r="AL68" s="45"/>
      <c r="AM68" s="45"/>
      <c r="AN68" s="45"/>
      <c r="AO68" s="45"/>
      <c r="AP68" s="45"/>
      <c r="AQ68" s="45"/>
      <c r="AR68" s="45"/>
      <c r="AS68" s="45"/>
      <c r="AT68" s="45"/>
      <c r="AU68" s="45"/>
      <c r="AV68" s="45"/>
      <c r="AW68" s="45"/>
      <c r="AX68" s="45"/>
      <c r="AY68" s="45"/>
      <c r="AZ68" s="45"/>
    </row>
    <row r="69" spans="2:52" x14ac:dyDescent="0.25">
      <c r="B69" s="41" t="str">
        <f>IF('Indice Plan'!$F67 = "", "", 'Indice Plan'!$F67)</f>
        <v/>
      </c>
      <c r="C69" s="44" t="str">
        <f t="shared" ref="C69:C100" si="2">IF($B69 = "", "", VLOOKUP($B69,Ind_CS,2))</f>
        <v/>
      </c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  <c r="AZ69" s="45"/>
    </row>
    <row r="70" spans="2:52" x14ac:dyDescent="0.25">
      <c r="B70" s="41" t="str">
        <f>IF('Indice Plan'!$F68 = "", "", 'Indice Plan'!$F68)</f>
        <v/>
      </c>
      <c r="C70" s="44" t="str">
        <f t="shared" si="2"/>
        <v/>
      </c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  <c r="AZ70" s="45"/>
    </row>
    <row r="71" spans="2:52" x14ac:dyDescent="0.25">
      <c r="B71" s="41" t="str">
        <f>IF('Indice Plan'!$F69 = "", "", 'Indice Plan'!$F69)</f>
        <v/>
      </c>
      <c r="C71" s="44" t="str">
        <f t="shared" si="2"/>
        <v/>
      </c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</row>
    <row r="72" spans="2:52" x14ac:dyDescent="0.25">
      <c r="B72" s="41" t="str">
        <f>IF('Indice Plan'!$F70 = "", "", 'Indice Plan'!$F70)</f>
        <v/>
      </c>
      <c r="C72" s="44" t="str">
        <f t="shared" si="2"/>
        <v/>
      </c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</row>
    <row r="73" spans="2:52" x14ac:dyDescent="0.25">
      <c r="B73" s="41" t="str">
        <f>IF('Indice Plan'!$F71 = "", "", 'Indice Plan'!$F71)</f>
        <v/>
      </c>
      <c r="C73" s="44" t="str">
        <f t="shared" si="2"/>
        <v/>
      </c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  <c r="AZ73" s="45"/>
    </row>
    <row r="74" spans="2:52" x14ac:dyDescent="0.25">
      <c r="B74" s="41" t="str">
        <f>IF('Indice Plan'!$F72 = "", "", 'Indice Plan'!$F72)</f>
        <v/>
      </c>
      <c r="C74" s="44" t="str">
        <f t="shared" si="2"/>
        <v/>
      </c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  <c r="AL74" s="45"/>
      <c r="AM74" s="45"/>
      <c r="AN74" s="45"/>
      <c r="AO74" s="45"/>
      <c r="AP74" s="45"/>
      <c r="AQ74" s="45"/>
      <c r="AR74" s="45"/>
      <c r="AS74" s="45"/>
      <c r="AT74" s="45"/>
      <c r="AU74" s="45"/>
      <c r="AV74" s="45"/>
      <c r="AW74" s="45"/>
      <c r="AX74" s="45"/>
      <c r="AY74" s="45"/>
      <c r="AZ74" s="45"/>
    </row>
    <row r="75" spans="2:52" x14ac:dyDescent="0.25">
      <c r="B75" s="41" t="str">
        <f>IF('Indice Plan'!$F73 = "", "", 'Indice Plan'!$F73)</f>
        <v/>
      </c>
      <c r="C75" s="44" t="str">
        <f t="shared" si="2"/>
        <v/>
      </c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  <c r="AL75" s="45"/>
      <c r="AM75" s="45"/>
      <c r="AN75" s="45"/>
      <c r="AO75" s="45"/>
      <c r="AP75" s="45"/>
      <c r="AQ75" s="45"/>
      <c r="AR75" s="45"/>
      <c r="AS75" s="45"/>
      <c r="AT75" s="45"/>
      <c r="AU75" s="45"/>
      <c r="AV75" s="45"/>
      <c r="AW75" s="45"/>
      <c r="AX75" s="45"/>
      <c r="AY75" s="45"/>
      <c r="AZ75" s="45"/>
    </row>
    <row r="76" spans="2:52" x14ac:dyDescent="0.25">
      <c r="B76" s="41" t="str">
        <f>IF('Indice Plan'!$F74 = "", "", 'Indice Plan'!$F74)</f>
        <v/>
      </c>
      <c r="C76" s="44" t="str">
        <f t="shared" si="2"/>
        <v/>
      </c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  <c r="AL76" s="45"/>
      <c r="AM76" s="45"/>
      <c r="AN76" s="45"/>
      <c r="AO76" s="45"/>
      <c r="AP76" s="45"/>
      <c r="AQ76" s="45"/>
      <c r="AR76" s="45"/>
      <c r="AS76" s="45"/>
      <c r="AT76" s="45"/>
      <c r="AU76" s="45"/>
      <c r="AV76" s="45"/>
      <c r="AW76" s="45"/>
      <c r="AX76" s="45"/>
      <c r="AY76" s="45"/>
      <c r="AZ76" s="45"/>
    </row>
    <row r="77" spans="2:52" x14ac:dyDescent="0.25">
      <c r="B77" s="41" t="str">
        <f>IF('Indice Plan'!$F75 = "", "", 'Indice Plan'!$F75)</f>
        <v/>
      </c>
      <c r="C77" s="44" t="str">
        <f t="shared" si="2"/>
        <v/>
      </c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  <c r="AJ77" s="45"/>
      <c r="AK77" s="45"/>
      <c r="AL77" s="45"/>
      <c r="AM77" s="45"/>
      <c r="AN77" s="45"/>
      <c r="AO77" s="45"/>
      <c r="AP77" s="45"/>
      <c r="AQ77" s="45"/>
      <c r="AR77" s="45"/>
      <c r="AS77" s="45"/>
      <c r="AT77" s="45"/>
      <c r="AU77" s="45"/>
      <c r="AV77" s="45"/>
      <c r="AW77" s="45"/>
      <c r="AX77" s="45"/>
      <c r="AY77" s="45"/>
      <c r="AZ77" s="45"/>
    </row>
    <row r="78" spans="2:52" x14ac:dyDescent="0.25">
      <c r="B78" s="41" t="str">
        <f>IF('Indice Plan'!$F76 = "", "", 'Indice Plan'!$F76)</f>
        <v/>
      </c>
      <c r="C78" s="44" t="str">
        <f t="shared" si="2"/>
        <v/>
      </c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  <c r="AL78" s="45"/>
      <c r="AM78" s="45"/>
      <c r="AN78" s="45"/>
      <c r="AO78" s="45"/>
      <c r="AP78" s="45"/>
      <c r="AQ78" s="45"/>
      <c r="AR78" s="45"/>
      <c r="AS78" s="45"/>
      <c r="AT78" s="45"/>
      <c r="AU78" s="45"/>
      <c r="AV78" s="45"/>
      <c r="AW78" s="45"/>
      <c r="AX78" s="45"/>
      <c r="AY78" s="45"/>
      <c r="AZ78" s="45"/>
    </row>
    <row r="79" spans="2:52" x14ac:dyDescent="0.25">
      <c r="B79" s="41" t="str">
        <f>IF('Indice Plan'!$F77 = "", "", 'Indice Plan'!$F77)</f>
        <v/>
      </c>
      <c r="C79" s="44" t="str">
        <f t="shared" si="2"/>
        <v/>
      </c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  <c r="AL79" s="45"/>
      <c r="AM79" s="45"/>
      <c r="AN79" s="45"/>
      <c r="AO79" s="45"/>
      <c r="AP79" s="45"/>
      <c r="AQ79" s="45"/>
      <c r="AR79" s="45"/>
      <c r="AS79" s="45"/>
      <c r="AT79" s="45"/>
      <c r="AU79" s="45"/>
      <c r="AV79" s="45"/>
      <c r="AW79" s="45"/>
      <c r="AX79" s="45"/>
      <c r="AY79" s="45"/>
      <c r="AZ79" s="45"/>
    </row>
    <row r="80" spans="2:52" x14ac:dyDescent="0.25">
      <c r="B80" s="41" t="str">
        <f>IF('Indice Plan'!$F78 = "", "", 'Indice Plan'!$F78)</f>
        <v/>
      </c>
      <c r="C80" s="44" t="str">
        <f t="shared" si="2"/>
        <v/>
      </c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  <c r="AJ80" s="45"/>
      <c r="AK80" s="45"/>
      <c r="AL80" s="45"/>
      <c r="AM80" s="45"/>
      <c r="AN80" s="45"/>
      <c r="AO80" s="45"/>
      <c r="AP80" s="45"/>
      <c r="AQ80" s="45"/>
      <c r="AR80" s="45"/>
      <c r="AS80" s="45"/>
      <c r="AT80" s="45"/>
      <c r="AU80" s="45"/>
      <c r="AV80" s="45"/>
      <c r="AW80" s="45"/>
      <c r="AX80" s="45"/>
      <c r="AY80" s="45"/>
      <c r="AZ80" s="45"/>
    </row>
    <row r="81" spans="2:52" x14ac:dyDescent="0.25">
      <c r="B81" s="41" t="str">
        <f>IF('Indice Plan'!$F79 = "", "", 'Indice Plan'!$F79)</f>
        <v/>
      </c>
      <c r="C81" s="44" t="str">
        <f t="shared" si="2"/>
        <v/>
      </c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  <c r="AJ81" s="45"/>
      <c r="AK81" s="45"/>
      <c r="AL81" s="45"/>
      <c r="AM81" s="45"/>
      <c r="AN81" s="45"/>
      <c r="AO81" s="45"/>
      <c r="AP81" s="45"/>
      <c r="AQ81" s="45"/>
      <c r="AR81" s="45"/>
      <c r="AS81" s="45"/>
      <c r="AT81" s="45"/>
      <c r="AU81" s="45"/>
      <c r="AV81" s="45"/>
      <c r="AW81" s="45"/>
      <c r="AX81" s="45"/>
      <c r="AY81" s="45"/>
      <c r="AZ81" s="45"/>
    </row>
    <row r="82" spans="2:52" x14ac:dyDescent="0.25">
      <c r="B82" s="41" t="str">
        <f>IF('Indice Plan'!$F80 = "", "", 'Indice Plan'!$F80)</f>
        <v/>
      </c>
      <c r="C82" s="44" t="str">
        <f t="shared" si="2"/>
        <v/>
      </c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5"/>
      <c r="AI82" s="45"/>
      <c r="AJ82" s="45"/>
      <c r="AK82" s="45"/>
      <c r="AL82" s="45"/>
      <c r="AM82" s="45"/>
      <c r="AN82" s="45"/>
      <c r="AO82" s="45"/>
      <c r="AP82" s="45"/>
      <c r="AQ82" s="45"/>
      <c r="AR82" s="45"/>
      <c r="AS82" s="45"/>
      <c r="AT82" s="45"/>
      <c r="AU82" s="45"/>
      <c r="AV82" s="45"/>
      <c r="AW82" s="45"/>
      <c r="AX82" s="45"/>
      <c r="AY82" s="45"/>
      <c r="AZ82" s="45"/>
    </row>
    <row r="83" spans="2:52" x14ac:dyDescent="0.25">
      <c r="B83" s="41" t="str">
        <f>IF('Indice Plan'!$F81 = "", "", 'Indice Plan'!$F81)</f>
        <v/>
      </c>
      <c r="C83" s="44" t="str">
        <f t="shared" si="2"/>
        <v/>
      </c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5"/>
      <c r="AI83" s="45"/>
      <c r="AJ83" s="45"/>
      <c r="AK83" s="45"/>
      <c r="AL83" s="45"/>
      <c r="AM83" s="45"/>
      <c r="AN83" s="45"/>
      <c r="AO83" s="45"/>
      <c r="AP83" s="45"/>
      <c r="AQ83" s="45"/>
      <c r="AR83" s="45"/>
      <c r="AS83" s="45"/>
      <c r="AT83" s="45"/>
      <c r="AU83" s="45"/>
      <c r="AV83" s="45"/>
      <c r="AW83" s="45"/>
      <c r="AX83" s="45"/>
      <c r="AY83" s="45"/>
      <c r="AZ83" s="45"/>
    </row>
    <row r="84" spans="2:52" x14ac:dyDescent="0.25">
      <c r="B84" s="41" t="str">
        <f>IF('Indice Plan'!$F82 = "", "", 'Indice Plan'!$F82)</f>
        <v/>
      </c>
      <c r="C84" s="44" t="str">
        <f t="shared" si="2"/>
        <v/>
      </c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5"/>
      <c r="AI84" s="45"/>
      <c r="AJ84" s="45"/>
      <c r="AK84" s="45"/>
      <c r="AL84" s="45"/>
      <c r="AM84" s="45"/>
      <c r="AN84" s="45"/>
      <c r="AO84" s="45"/>
      <c r="AP84" s="45"/>
      <c r="AQ84" s="45"/>
      <c r="AR84" s="45"/>
      <c r="AS84" s="45"/>
      <c r="AT84" s="45"/>
      <c r="AU84" s="45"/>
      <c r="AV84" s="45"/>
      <c r="AW84" s="45"/>
      <c r="AX84" s="45"/>
      <c r="AY84" s="45"/>
      <c r="AZ84" s="45"/>
    </row>
    <row r="85" spans="2:52" x14ac:dyDescent="0.25">
      <c r="B85" s="41" t="str">
        <f>IF('Indice Plan'!$F83 = "", "", 'Indice Plan'!$F83)</f>
        <v/>
      </c>
      <c r="C85" s="44" t="str">
        <f t="shared" si="2"/>
        <v/>
      </c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5"/>
      <c r="AI85" s="45"/>
      <c r="AJ85" s="45"/>
      <c r="AK85" s="45"/>
      <c r="AL85" s="45"/>
      <c r="AM85" s="45"/>
      <c r="AN85" s="45"/>
      <c r="AO85" s="45"/>
      <c r="AP85" s="45"/>
      <c r="AQ85" s="45"/>
      <c r="AR85" s="45"/>
      <c r="AS85" s="45"/>
      <c r="AT85" s="45"/>
      <c r="AU85" s="45"/>
      <c r="AV85" s="45"/>
      <c r="AW85" s="45"/>
      <c r="AX85" s="45"/>
      <c r="AY85" s="45"/>
      <c r="AZ85" s="45"/>
    </row>
    <row r="86" spans="2:52" x14ac:dyDescent="0.25">
      <c r="B86" s="41" t="str">
        <f>IF('Indice Plan'!$F84 = "", "", 'Indice Plan'!$F84)</f>
        <v/>
      </c>
      <c r="C86" s="44" t="str">
        <f t="shared" si="2"/>
        <v/>
      </c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5"/>
      <c r="AI86" s="45"/>
      <c r="AJ86" s="45"/>
      <c r="AK86" s="45"/>
      <c r="AL86" s="45"/>
      <c r="AM86" s="45"/>
      <c r="AN86" s="45"/>
      <c r="AO86" s="45"/>
      <c r="AP86" s="45"/>
      <c r="AQ86" s="45"/>
      <c r="AR86" s="45"/>
      <c r="AS86" s="45"/>
      <c r="AT86" s="45"/>
      <c r="AU86" s="45"/>
      <c r="AV86" s="45"/>
      <c r="AW86" s="45"/>
      <c r="AX86" s="45"/>
      <c r="AY86" s="45"/>
      <c r="AZ86" s="45"/>
    </row>
    <row r="87" spans="2:52" x14ac:dyDescent="0.25">
      <c r="B87" s="41" t="str">
        <f>IF('Indice Plan'!$F85 = "", "", 'Indice Plan'!$F85)</f>
        <v/>
      </c>
      <c r="C87" s="44" t="str">
        <f t="shared" si="2"/>
        <v/>
      </c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5"/>
      <c r="AI87" s="45"/>
      <c r="AJ87" s="45"/>
      <c r="AK87" s="45"/>
      <c r="AL87" s="45"/>
      <c r="AM87" s="45"/>
      <c r="AN87" s="45"/>
      <c r="AO87" s="45"/>
      <c r="AP87" s="45"/>
      <c r="AQ87" s="45"/>
      <c r="AR87" s="45"/>
      <c r="AS87" s="45"/>
      <c r="AT87" s="45"/>
      <c r="AU87" s="45"/>
      <c r="AV87" s="45"/>
      <c r="AW87" s="45"/>
      <c r="AX87" s="45"/>
      <c r="AY87" s="45"/>
      <c r="AZ87" s="45"/>
    </row>
    <row r="88" spans="2:52" x14ac:dyDescent="0.25">
      <c r="B88" s="41" t="str">
        <f>IF('Indice Plan'!$F86 = "", "", 'Indice Plan'!$F86)</f>
        <v/>
      </c>
      <c r="C88" s="44" t="str">
        <f t="shared" si="2"/>
        <v/>
      </c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5"/>
      <c r="AI88" s="45"/>
      <c r="AJ88" s="45"/>
      <c r="AK88" s="45"/>
      <c r="AL88" s="45"/>
      <c r="AM88" s="45"/>
      <c r="AN88" s="45"/>
      <c r="AO88" s="45"/>
      <c r="AP88" s="45"/>
      <c r="AQ88" s="45"/>
      <c r="AR88" s="45"/>
      <c r="AS88" s="45"/>
      <c r="AT88" s="45"/>
      <c r="AU88" s="45"/>
      <c r="AV88" s="45"/>
      <c r="AW88" s="45"/>
      <c r="AX88" s="45"/>
      <c r="AY88" s="45"/>
      <c r="AZ88" s="45"/>
    </row>
    <row r="89" spans="2:52" x14ac:dyDescent="0.25">
      <c r="B89" s="41" t="str">
        <f>IF('Indice Plan'!$F87 = "", "", 'Indice Plan'!$F87)</f>
        <v/>
      </c>
      <c r="C89" s="44" t="str">
        <f t="shared" si="2"/>
        <v/>
      </c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5"/>
      <c r="AI89" s="45"/>
      <c r="AJ89" s="45"/>
      <c r="AK89" s="45"/>
      <c r="AL89" s="45"/>
      <c r="AM89" s="45"/>
      <c r="AN89" s="45"/>
      <c r="AO89" s="45"/>
      <c r="AP89" s="45"/>
      <c r="AQ89" s="45"/>
      <c r="AR89" s="45"/>
      <c r="AS89" s="45"/>
      <c r="AT89" s="45"/>
      <c r="AU89" s="45"/>
      <c r="AV89" s="45"/>
      <c r="AW89" s="45"/>
      <c r="AX89" s="45"/>
      <c r="AY89" s="45"/>
      <c r="AZ89" s="45"/>
    </row>
    <row r="90" spans="2:52" x14ac:dyDescent="0.25">
      <c r="B90" s="41" t="str">
        <f>IF('Indice Plan'!$F88 = "", "", 'Indice Plan'!$F88)</f>
        <v/>
      </c>
      <c r="C90" s="44" t="str">
        <f t="shared" si="2"/>
        <v/>
      </c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5"/>
      <c r="AI90" s="45"/>
      <c r="AJ90" s="45"/>
      <c r="AK90" s="45"/>
      <c r="AL90" s="45"/>
      <c r="AM90" s="45"/>
      <c r="AN90" s="45"/>
      <c r="AO90" s="45"/>
      <c r="AP90" s="45"/>
      <c r="AQ90" s="45"/>
      <c r="AR90" s="45"/>
      <c r="AS90" s="45"/>
      <c r="AT90" s="45"/>
      <c r="AU90" s="45"/>
      <c r="AV90" s="45"/>
      <c r="AW90" s="45"/>
      <c r="AX90" s="45"/>
      <c r="AY90" s="45"/>
      <c r="AZ90" s="45"/>
    </row>
    <row r="91" spans="2:52" x14ac:dyDescent="0.25">
      <c r="B91" s="41" t="str">
        <f>IF('Indice Plan'!$F89 = "", "", 'Indice Plan'!$F89)</f>
        <v/>
      </c>
      <c r="C91" s="44" t="str">
        <f t="shared" si="2"/>
        <v/>
      </c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5"/>
      <c r="AI91" s="45"/>
      <c r="AJ91" s="45"/>
      <c r="AK91" s="45"/>
      <c r="AL91" s="45"/>
      <c r="AM91" s="45"/>
      <c r="AN91" s="45"/>
      <c r="AO91" s="45"/>
      <c r="AP91" s="45"/>
      <c r="AQ91" s="45"/>
      <c r="AR91" s="45"/>
      <c r="AS91" s="45"/>
      <c r="AT91" s="45"/>
      <c r="AU91" s="45"/>
      <c r="AV91" s="45"/>
      <c r="AW91" s="45"/>
      <c r="AX91" s="45"/>
      <c r="AY91" s="45"/>
      <c r="AZ91" s="45"/>
    </row>
    <row r="92" spans="2:52" x14ac:dyDescent="0.25">
      <c r="B92" s="41" t="str">
        <f>IF('Indice Plan'!$F90 = "", "", 'Indice Plan'!$F90)</f>
        <v/>
      </c>
      <c r="C92" s="44" t="str">
        <f t="shared" si="2"/>
        <v/>
      </c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5"/>
      <c r="AI92" s="45"/>
      <c r="AJ92" s="45"/>
      <c r="AK92" s="45"/>
      <c r="AL92" s="45"/>
      <c r="AM92" s="45"/>
      <c r="AN92" s="45"/>
      <c r="AO92" s="45"/>
      <c r="AP92" s="45"/>
      <c r="AQ92" s="45"/>
      <c r="AR92" s="45"/>
      <c r="AS92" s="45"/>
      <c r="AT92" s="45"/>
      <c r="AU92" s="45"/>
      <c r="AV92" s="45"/>
      <c r="AW92" s="45"/>
      <c r="AX92" s="45"/>
      <c r="AY92" s="45"/>
      <c r="AZ92" s="45"/>
    </row>
    <row r="93" spans="2:52" x14ac:dyDescent="0.25">
      <c r="B93" s="41" t="str">
        <f>IF('Indice Plan'!$F91 = "", "", 'Indice Plan'!$F91)</f>
        <v/>
      </c>
      <c r="C93" s="44" t="str">
        <f t="shared" si="2"/>
        <v/>
      </c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  <c r="AL93" s="45"/>
      <c r="AM93" s="45"/>
      <c r="AN93" s="45"/>
      <c r="AO93" s="45"/>
      <c r="AP93" s="45"/>
      <c r="AQ93" s="45"/>
      <c r="AR93" s="45"/>
      <c r="AS93" s="45"/>
      <c r="AT93" s="45"/>
      <c r="AU93" s="45"/>
      <c r="AV93" s="45"/>
      <c r="AW93" s="45"/>
      <c r="AX93" s="45"/>
      <c r="AY93" s="45"/>
      <c r="AZ93" s="45"/>
    </row>
    <row r="94" spans="2:52" x14ac:dyDescent="0.25">
      <c r="B94" s="41" t="str">
        <f>IF('Indice Plan'!$F92 = "", "", 'Indice Plan'!$F92)</f>
        <v/>
      </c>
      <c r="C94" s="44" t="str">
        <f t="shared" si="2"/>
        <v/>
      </c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5"/>
      <c r="AI94" s="45"/>
      <c r="AJ94" s="45"/>
      <c r="AK94" s="45"/>
      <c r="AL94" s="45"/>
      <c r="AM94" s="45"/>
      <c r="AN94" s="45"/>
      <c r="AO94" s="45"/>
      <c r="AP94" s="45"/>
      <c r="AQ94" s="45"/>
      <c r="AR94" s="45"/>
      <c r="AS94" s="45"/>
      <c r="AT94" s="45"/>
      <c r="AU94" s="45"/>
      <c r="AV94" s="45"/>
      <c r="AW94" s="45"/>
      <c r="AX94" s="45"/>
      <c r="AY94" s="45"/>
      <c r="AZ94" s="45"/>
    </row>
    <row r="95" spans="2:52" x14ac:dyDescent="0.25">
      <c r="B95" s="41" t="str">
        <f>IF('Indice Plan'!$F93 = "", "", 'Indice Plan'!$F93)</f>
        <v/>
      </c>
      <c r="C95" s="44" t="str">
        <f t="shared" si="2"/>
        <v/>
      </c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45"/>
      <c r="AJ95" s="45"/>
      <c r="AK95" s="45"/>
      <c r="AL95" s="45"/>
      <c r="AM95" s="45"/>
      <c r="AN95" s="45"/>
      <c r="AO95" s="45"/>
      <c r="AP95" s="45"/>
      <c r="AQ95" s="45"/>
      <c r="AR95" s="45"/>
      <c r="AS95" s="45"/>
      <c r="AT95" s="45"/>
      <c r="AU95" s="45"/>
      <c r="AV95" s="45"/>
      <c r="AW95" s="45"/>
      <c r="AX95" s="45"/>
      <c r="AY95" s="45"/>
      <c r="AZ95" s="45"/>
    </row>
    <row r="96" spans="2:52" x14ac:dyDescent="0.25">
      <c r="B96" s="41" t="str">
        <f>IF('Indice Plan'!$F94 = "", "", 'Indice Plan'!$F94)</f>
        <v/>
      </c>
      <c r="C96" s="44" t="str">
        <f t="shared" si="2"/>
        <v/>
      </c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45"/>
      <c r="AJ96" s="45"/>
      <c r="AK96" s="45"/>
      <c r="AL96" s="45"/>
      <c r="AM96" s="45"/>
      <c r="AN96" s="45"/>
      <c r="AO96" s="45"/>
      <c r="AP96" s="45"/>
      <c r="AQ96" s="45"/>
      <c r="AR96" s="45"/>
      <c r="AS96" s="45"/>
      <c r="AT96" s="45"/>
      <c r="AU96" s="45"/>
      <c r="AV96" s="45"/>
      <c r="AW96" s="45"/>
      <c r="AX96" s="45"/>
      <c r="AY96" s="45"/>
      <c r="AZ96" s="45"/>
    </row>
    <row r="97" spans="2:52" x14ac:dyDescent="0.25">
      <c r="B97" s="41" t="str">
        <f>IF('Indice Plan'!$F95 = "", "", 'Indice Plan'!$F95)</f>
        <v/>
      </c>
      <c r="C97" s="44" t="str">
        <f t="shared" si="2"/>
        <v/>
      </c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45"/>
      <c r="AJ97" s="45"/>
      <c r="AK97" s="45"/>
      <c r="AL97" s="45"/>
      <c r="AM97" s="45"/>
      <c r="AN97" s="45"/>
      <c r="AO97" s="45"/>
      <c r="AP97" s="45"/>
      <c r="AQ97" s="45"/>
      <c r="AR97" s="45"/>
      <c r="AS97" s="45"/>
      <c r="AT97" s="45"/>
      <c r="AU97" s="45"/>
      <c r="AV97" s="45"/>
      <c r="AW97" s="45"/>
      <c r="AX97" s="45"/>
      <c r="AY97" s="45"/>
      <c r="AZ97" s="45"/>
    </row>
    <row r="98" spans="2:52" x14ac:dyDescent="0.25">
      <c r="B98" s="41" t="str">
        <f>IF('Indice Plan'!$F96 = "", "", 'Indice Plan'!$F96)</f>
        <v/>
      </c>
      <c r="C98" s="44" t="str">
        <f t="shared" si="2"/>
        <v/>
      </c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5"/>
      <c r="AI98" s="45"/>
      <c r="AJ98" s="45"/>
      <c r="AK98" s="45"/>
      <c r="AL98" s="45"/>
      <c r="AM98" s="45"/>
      <c r="AN98" s="45"/>
      <c r="AO98" s="45"/>
      <c r="AP98" s="45"/>
      <c r="AQ98" s="45"/>
      <c r="AR98" s="45"/>
      <c r="AS98" s="45"/>
      <c r="AT98" s="45"/>
      <c r="AU98" s="45"/>
      <c r="AV98" s="45"/>
      <c r="AW98" s="45"/>
      <c r="AX98" s="45"/>
      <c r="AY98" s="45"/>
      <c r="AZ98" s="45"/>
    </row>
    <row r="99" spans="2:52" x14ac:dyDescent="0.25">
      <c r="B99" s="41" t="str">
        <f>IF('Indice Plan'!$F97 = "", "", 'Indice Plan'!$F97)</f>
        <v/>
      </c>
      <c r="C99" s="44" t="str">
        <f t="shared" si="2"/>
        <v/>
      </c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</row>
    <row r="100" spans="2:52" x14ac:dyDescent="0.25">
      <c r="B100" s="41" t="str">
        <f>IF('Indice Plan'!$F98 = "", "", 'Indice Plan'!$F98)</f>
        <v/>
      </c>
      <c r="C100" s="44" t="str">
        <f t="shared" si="2"/>
        <v/>
      </c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5"/>
      <c r="AI100" s="45"/>
      <c r="AJ100" s="45"/>
      <c r="AK100" s="45"/>
      <c r="AL100" s="45"/>
      <c r="AM100" s="45"/>
      <c r="AN100" s="45"/>
      <c r="AO100" s="45"/>
      <c r="AP100" s="45"/>
      <c r="AQ100" s="45"/>
      <c r="AR100" s="45"/>
      <c r="AS100" s="45"/>
      <c r="AT100" s="45"/>
      <c r="AU100" s="45"/>
      <c r="AV100" s="45"/>
      <c r="AW100" s="45"/>
      <c r="AX100" s="45"/>
      <c r="AY100" s="45"/>
      <c r="AZ100" s="45"/>
    </row>
  </sheetData>
  <mergeCells count="2">
    <mergeCell ref="D4:AZ4"/>
    <mergeCell ref="B1:D2"/>
  </mergeCells>
  <conditionalFormatting sqref="D5:AZ100">
    <cfRule type="containsBlanks" dxfId="8" priority="2">
      <formula>LEN(TRIM(D5))=0</formula>
    </cfRule>
  </conditionalFormatting>
  <conditionalFormatting sqref="B5:C100">
    <cfRule type="containsBlanks" dxfId="7" priority="1">
      <formula>LEN(TRIM(B5))=0</formula>
    </cfRule>
  </conditionalFormatting>
  <dataValidations count="2">
    <dataValidation type="list" allowBlank="1" showInputMessage="1" showErrorMessage="1" sqref="BA5:DZ100" xr:uid="{317928D0-BA5F-431B-A85D-E3A23F711648}">
      <formula1>List_Toiture</formula1>
    </dataValidation>
    <dataValidation type="list" allowBlank="1" showInputMessage="1" showErrorMessage="1" sqref="D5:AZ100" xr:uid="{6F70E1E7-7974-4F56-8EF2-1F0522004E79}">
      <formula1>List_CS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F06D9-6653-4488-B457-0A50D551DA2E}">
  <sheetPr codeName="Feuil5"/>
  <dimension ref="B1:AZ100"/>
  <sheetViews>
    <sheetView showGridLines="0" zoomScale="70" zoomScaleNormal="7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G3" sqref="G3"/>
    </sheetView>
  </sheetViews>
  <sheetFormatPr baseColWidth="10" defaultColWidth="35.7109375" defaultRowHeight="15" x14ac:dyDescent="0.25"/>
  <cols>
    <col min="1" max="1" width="2.85546875" style="2" customWidth="1"/>
    <col min="2" max="2" width="8.5703125" style="2" customWidth="1"/>
    <col min="3" max="3" width="142.85546875" style="3" customWidth="1"/>
    <col min="4" max="16384" width="35.7109375" style="2"/>
  </cols>
  <sheetData>
    <row r="1" spans="2:52" ht="22.5" customHeight="1" x14ac:dyDescent="0.25">
      <c r="B1" s="90" t="s">
        <v>199</v>
      </c>
      <c r="C1" s="91"/>
      <c r="D1" s="92"/>
      <c r="E1" s="62" t="s">
        <v>307</v>
      </c>
      <c r="F1" s="62" t="s">
        <v>310</v>
      </c>
      <c r="G1" s="62" t="s">
        <v>309</v>
      </c>
    </row>
    <row r="2" spans="2:52" ht="22.5" customHeight="1" x14ac:dyDescent="0.25">
      <c r="B2" s="93"/>
      <c r="C2" s="94"/>
      <c r="D2" s="95"/>
      <c r="E2" s="63" t="s">
        <v>311</v>
      </c>
      <c r="F2" s="64">
        <v>43656</v>
      </c>
      <c r="G2" s="63" t="s">
        <v>433</v>
      </c>
    </row>
    <row r="4" spans="2:52" s="36" customFormat="1" ht="30" customHeight="1" x14ac:dyDescent="0.25">
      <c r="B4" s="65" t="s">
        <v>194</v>
      </c>
      <c r="C4" s="65" t="s">
        <v>195</v>
      </c>
      <c r="D4" s="89" t="s">
        <v>196</v>
      </c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</row>
    <row r="5" spans="2:52" x14ac:dyDescent="0.25">
      <c r="B5" s="40" t="str">
        <f>IF('Indice Plan'!$D3 = "", "", 'Indice Plan'!$D3)</f>
        <v>0010</v>
      </c>
      <c r="C5" s="39" t="str">
        <f t="shared" ref="C5:C36" si="0">IF($B5 = "", "", VLOOKUP($B5,Ind_Ombrière,2))</f>
        <v>PLAN DE MASSE / SITUATION DU SITE / VUE AERIENNE</v>
      </c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</row>
    <row r="6" spans="2:52" x14ac:dyDescent="0.25">
      <c r="B6" s="41" t="str">
        <f>IF('Indice Plan'!$D4 = "", "", 'Indice Plan'!$D4)</f>
        <v>0020</v>
      </c>
      <c r="C6" s="44" t="str">
        <f t="shared" si="0"/>
        <v>PARCELLES CADASTRALES</v>
      </c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</row>
    <row r="7" spans="2:52" x14ac:dyDescent="0.25">
      <c r="B7" s="41" t="str">
        <f>IF('Indice Plan'!$D5 = "", "", 'Indice Plan'!$D5)</f>
        <v>0030</v>
      </c>
      <c r="C7" s="44" t="str">
        <f t="shared" si="0"/>
        <v>TOPOGRAPHIE - SITE ET ALENTOURS PROCHES</v>
      </c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</row>
    <row r="8" spans="2:52" x14ac:dyDescent="0.25">
      <c r="B8" s="41" t="str">
        <f>IF('Indice Plan'!$D6 = "", "", 'Indice Plan'!$D6)</f>
        <v>0040</v>
      </c>
      <c r="C8" s="44" t="str">
        <f t="shared" si="0"/>
        <v>RESEAUX ET VRD</v>
      </c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</row>
    <row r="9" spans="2:52" x14ac:dyDescent="0.25">
      <c r="B9" s="41" t="str">
        <f>IF('Indice Plan'!$D7 = "", "", 'Indice Plan'!$D7)</f>
        <v>0050</v>
      </c>
      <c r="C9" s="44" t="str">
        <f t="shared" si="0"/>
        <v>SCHEMAS ELECTRIQUES</v>
      </c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  <c r="AZ9" s="45"/>
    </row>
    <row r="10" spans="2:52" x14ac:dyDescent="0.25">
      <c r="B10" s="41" t="str">
        <f>IF('Indice Plan'!$D8 = "", "", 'Indice Plan'!$D8)</f>
        <v>1010</v>
      </c>
      <c r="C10" s="44" t="str">
        <f t="shared" si="0"/>
        <v>ENJEUX ADMINISTRATIFS ET ENVIRONNEMENTAUX - [ACCES ET DISPOSITIFS POUR SECURITE INCENDIE] / [DGAC - ANALYSE DE LA GENE VISUELLE]</v>
      </c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</row>
    <row r="11" spans="2:52" x14ac:dyDescent="0.25">
      <c r="B11" s="41" t="str">
        <f>IF('Indice Plan'!$D9 = "", "", 'Indice Plan'!$D9)</f>
        <v>1020</v>
      </c>
      <c r="C11" s="44" t="str">
        <f t="shared" si="0"/>
        <v>IMPLANTATION GENERALE DU GENERATEUR PV</v>
      </c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</row>
    <row r="12" spans="2:52" x14ac:dyDescent="0.25">
      <c r="B12" s="41" t="str">
        <f>IF('Indice Plan'!$D10 = "", "", 'Indice Plan'!$D10)</f>
        <v>1030</v>
      </c>
      <c r="C12" s="44" t="str">
        <f t="shared" si="0"/>
        <v>CALEPINAGE DES MODULES PV</v>
      </c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</row>
    <row r="13" spans="2:52" x14ac:dyDescent="0.25">
      <c r="B13" s="41" t="str">
        <f>IF('Indice Plan'!$D11 = "", "", 'Indice Plan'!$D11)</f>
        <v>1040</v>
      </c>
      <c r="C13" s="44" t="str">
        <f t="shared" si="0"/>
        <v>GESTION DES OMBRAGES</v>
      </c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</row>
    <row r="14" spans="2:52" x14ac:dyDescent="0.25">
      <c r="B14" s="41" t="str">
        <f>IF('Indice Plan'!$D12 = "", "", 'Indice Plan'!$D12)</f>
        <v>1050</v>
      </c>
      <c r="C14" s="44" t="str">
        <f t="shared" si="0"/>
        <v>REPARTITION DES CHAMPS PV</v>
      </c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</row>
    <row r="15" spans="2:52" x14ac:dyDescent="0.25">
      <c r="B15" s="41" t="str">
        <f>IF('Indice Plan'!$D13 = "", "", 'Indice Plan'!$D13)</f>
        <v>1060</v>
      </c>
      <c r="C15" s="44" t="str">
        <f t="shared" si="0"/>
        <v>IMPLANTATION STATION METEO</v>
      </c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</row>
    <row r="16" spans="2:52" x14ac:dyDescent="0.25">
      <c r="B16" s="41" t="str">
        <f>IF('Indice Plan'!$D14 = "", "", 'Indice Plan'!$D14)</f>
        <v>1070</v>
      </c>
      <c r="C16" s="44" t="str">
        <f t="shared" si="0"/>
        <v xml:space="preserve">IMPLANTATION DU PROCEDE PV </v>
      </c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  <c r="AY16" s="45"/>
      <c r="AZ16" s="45"/>
    </row>
    <row r="17" spans="2:52" x14ac:dyDescent="0.25">
      <c r="B17" s="41" t="str">
        <f>IF('Indice Plan'!$D15 = "", "", 'Indice Plan'!$D15)</f>
        <v>1100</v>
      </c>
      <c r="C17" s="44" t="str">
        <f t="shared" si="0"/>
        <v>COUPE SUR CHAMPS PV</v>
      </c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</row>
    <row r="18" spans="2:52" x14ac:dyDescent="0.25">
      <c r="B18" s="41" t="str">
        <f>IF('Indice Plan'!$D16 = "", "", 'Indice Plan'!$D16)</f>
        <v>1120</v>
      </c>
      <c r="C18" s="44" t="str">
        <f t="shared" si="0"/>
        <v>IMPLANTATION DES FONDATIONS ET DES POTEAUX - PRINCIPE ET TOLERANCES DE MISE EN ŒUVRE</v>
      </c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45"/>
      <c r="AZ18" s="45"/>
    </row>
    <row r="19" spans="2:52" x14ac:dyDescent="0.25">
      <c r="B19" s="41" t="str">
        <f>IF('Indice Plan'!$D17 = "", "", 'Indice Plan'!$D17)</f>
        <v>1150</v>
      </c>
      <c r="C19" s="44" t="str">
        <f t="shared" si="0"/>
        <v>IMPLANTATION DES PLACES DE PARKING ET DES POTEAUX</v>
      </c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5"/>
      <c r="AZ19" s="45"/>
    </row>
    <row r="20" spans="2:52" x14ac:dyDescent="0.25">
      <c r="B20" s="41" t="str">
        <f>IF('Indice Plan'!$D18 = "", "", 'Indice Plan'!$D18)</f>
        <v>2010</v>
      </c>
      <c r="C20" s="44" t="str">
        <f t="shared" si="0"/>
        <v>SCHEMA UNIFILAIRE GENERAL</v>
      </c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5"/>
    </row>
    <row r="21" spans="2:52" x14ac:dyDescent="0.25">
      <c r="B21" s="41" t="str">
        <f>IF('Indice Plan'!$D19 = "", "", 'Indice Plan'!$D19)</f>
        <v>2020</v>
      </c>
      <c r="C21" s="44" t="str">
        <f t="shared" si="0"/>
        <v>SCHEMA UNIFILAIRE HTA</v>
      </c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  <c r="AZ21" s="45"/>
    </row>
    <row r="22" spans="2:52" x14ac:dyDescent="0.25">
      <c r="B22" s="41" t="str">
        <f>IF('Indice Plan'!$D20 = "", "", 'Indice Plan'!$D20)</f>
        <v>2030</v>
      </c>
      <c r="C22" s="44" t="str">
        <f t="shared" si="0"/>
        <v>SCHEMA UNIFILAIRE  DES AUXILIAIRES</v>
      </c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</row>
    <row r="23" spans="2:52" x14ac:dyDescent="0.25">
      <c r="B23" s="41" t="str">
        <f>IF('Indice Plan'!$D21 = "", "", 'Indice Plan'!$D21)</f>
        <v>2040</v>
      </c>
      <c r="C23" s="44" t="str">
        <f t="shared" si="0"/>
        <v>SCHEMA UNIFILAIRE  DE COMMUNICATION - VUE D'ENSEMBLE DU RESEAU</v>
      </c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5"/>
    </row>
    <row r="24" spans="2:52" x14ac:dyDescent="0.25">
      <c r="B24" s="41" t="str">
        <f>IF('Indice Plan'!$D22 = "", "", 'Indice Plan'!$D22)</f>
        <v>2050</v>
      </c>
      <c r="C24" s="44" t="str">
        <f t="shared" si="0"/>
        <v>SCHEMA UNIFILAIRE  DE COMMUNICATION - STATION METEO</v>
      </c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</row>
    <row r="25" spans="2:52" x14ac:dyDescent="0.25">
      <c r="B25" s="41" t="str">
        <f>IF('Indice Plan'!$D23 = "", "", 'Indice Plan'!$D23)</f>
        <v>2060</v>
      </c>
      <c r="C25" s="44" t="str">
        <f t="shared" si="0"/>
        <v>SCHEMA UNIFILAIRE  DE COMMUNICATION - RESEAU FIBRE OPTIQUE</v>
      </c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  <c r="AZ25" s="45"/>
    </row>
    <row r="26" spans="2:52" x14ac:dyDescent="0.25">
      <c r="B26" s="41" t="str">
        <f>IF('Indice Plan'!$D24 = "", "", 'Indice Plan'!$D24)</f>
        <v>3010</v>
      </c>
      <c r="C26" s="44" t="str">
        <f t="shared" si="0"/>
        <v>CABLAGE GENERAL CFo</v>
      </c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45"/>
      <c r="AY26" s="45"/>
      <c r="AZ26" s="45"/>
    </row>
    <row r="27" spans="2:52" x14ac:dyDescent="0.25">
      <c r="B27" s="41" t="str">
        <f>IF('Indice Plan'!$D25 = "", "", 'Indice Plan'!$D25)</f>
        <v>3020</v>
      </c>
      <c r="C27" s="44" t="str">
        <f t="shared" si="0"/>
        <v>CABLAGE GENERAL CFa</v>
      </c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5"/>
      <c r="AI27" s="45"/>
      <c r="AJ27" s="45"/>
      <c r="AK27" s="45"/>
      <c r="AL27" s="45"/>
      <c r="AM27" s="45"/>
      <c r="AN27" s="45"/>
      <c r="AO27" s="45"/>
      <c r="AP27" s="45"/>
      <c r="AQ27" s="45"/>
      <c r="AR27" s="45"/>
      <c r="AS27" s="45"/>
      <c r="AT27" s="45"/>
      <c r="AU27" s="45"/>
      <c r="AV27" s="45"/>
      <c r="AW27" s="45"/>
      <c r="AX27" s="45"/>
      <c r="AY27" s="45"/>
      <c r="AZ27" s="45"/>
    </row>
    <row r="28" spans="2:52" x14ac:dyDescent="0.25">
      <c r="B28" s="41" t="str">
        <f>IF('Indice Plan'!$D26 = "", "", 'Indice Plan'!$D26)</f>
        <v>3030</v>
      </c>
      <c r="C28" s="44" t="str">
        <f t="shared" si="0"/>
        <v>CABLAGE CC DES CHAINES PV ENTRE MODULES</v>
      </c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5"/>
      <c r="AI28" s="45"/>
      <c r="AJ28" s="45"/>
      <c r="AK28" s="45"/>
      <c r="AL28" s="45"/>
      <c r="AM28" s="45"/>
      <c r="AN28" s="45"/>
      <c r="AO28" s="45"/>
      <c r="AP28" s="45"/>
      <c r="AQ28" s="45"/>
      <c r="AR28" s="45"/>
      <c r="AS28" s="45"/>
      <c r="AT28" s="45"/>
      <c r="AU28" s="45"/>
      <c r="AV28" s="45"/>
      <c r="AW28" s="45"/>
      <c r="AX28" s="45"/>
      <c r="AY28" s="45"/>
      <c r="AZ28" s="45"/>
    </row>
    <row r="29" spans="2:52" x14ac:dyDescent="0.25">
      <c r="B29" s="41" t="str">
        <f>IF('Indice Plan'!$D27 = "", "", 'Indice Plan'!$D27)</f>
        <v>3040</v>
      </c>
      <c r="C29" s="44" t="str">
        <f t="shared" si="0"/>
        <v>CABLAGE CC DES CHAINES PV AUX BJ</v>
      </c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5"/>
      <c r="AN29" s="45"/>
      <c r="AO29" s="45"/>
      <c r="AP29" s="45"/>
      <c r="AQ29" s="45"/>
      <c r="AR29" s="45"/>
      <c r="AS29" s="45"/>
      <c r="AT29" s="45"/>
      <c r="AU29" s="45"/>
      <c r="AV29" s="45"/>
      <c r="AW29" s="45"/>
      <c r="AX29" s="45"/>
      <c r="AY29" s="45"/>
      <c r="AZ29" s="45"/>
    </row>
    <row r="30" spans="2:52" x14ac:dyDescent="0.25">
      <c r="B30" s="41" t="str">
        <f>IF('Indice Plan'!$D28 = "", "", 'Indice Plan'!$D28)</f>
        <v>3050</v>
      </c>
      <c r="C30" s="44" t="str">
        <f t="shared" si="0"/>
        <v xml:space="preserve">RACCORDEMENT AU RESEAU PUBLIC DE DISTRIBUTION - DETAIL DU POINT DE LIVRAISON </v>
      </c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  <c r="AI30" s="45"/>
      <c r="AJ30" s="45"/>
      <c r="AK30" s="45"/>
      <c r="AL30" s="45"/>
      <c r="AM30" s="45"/>
      <c r="AN30" s="45"/>
      <c r="AO30" s="45"/>
      <c r="AP30" s="45"/>
      <c r="AQ30" s="45"/>
      <c r="AR30" s="45"/>
      <c r="AS30" s="45"/>
      <c r="AT30" s="45"/>
      <c r="AU30" s="45"/>
      <c r="AV30" s="45"/>
      <c r="AW30" s="45"/>
      <c r="AX30" s="45"/>
      <c r="AY30" s="45"/>
      <c r="AZ30" s="45"/>
    </row>
    <row r="31" spans="2:52" x14ac:dyDescent="0.25">
      <c r="B31" s="41" t="str">
        <f>IF('Indice Plan'!$D29 = "", "", 'Indice Plan'!$D29)</f>
        <v>3055</v>
      </c>
      <c r="C31" s="44" t="str">
        <f t="shared" si="0"/>
        <v>RACCORDEMENT AU RESEAU PUBLIC DE DISTRIBUTION - TRACE ERDF EN VOIRIE PUBLIQUE</v>
      </c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5"/>
      <c r="AN31" s="45"/>
      <c r="AO31" s="45"/>
      <c r="AP31" s="45"/>
      <c r="AQ31" s="45"/>
      <c r="AR31" s="45"/>
      <c r="AS31" s="45"/>
      <c r="AT31" s="45"/>
      <c r="AU31" s="45"/>
      <c r="AV31" s="45"/>
      <c r="AW31" s="45"/>
      <c r="AX31" s="45"/>
      <c r="AY31" s="45"/>
      <c r="AZ31" s="45"/>
    </row>
    <row r="32" spans="2:52" x14ac:dyDescent="0.25">
      <c r="B32" s="41" t="str">
        <f>IF('Indice Plan'!$D30 = "", "", 'Indice Plan'!$D30)</f>
        <v>3060</v>
      </c>
      <c r="C32" s="44" t="str">
        <f t="shared" si="0"/>
        <v>LIAISONS EQUIPOTENTIELLES</v>
      </c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5"/>
      <c r="AN32" s="45"/>
      <c r="AO32" s="45"/>
      <c r="AP32" s="45"/>
      <c r="AQ32" s="45"/>
      <c r="AR32" s="45"/>
      <c r="AS32" s="45"/>
      <c r="AT32" s="45"/>
      <c r="AU32" s="45"/>
      <c r="AV32" s="45"/>
      <c r="AW32" s="45"/>
      <c r="AX32" s="45"/>
      <c r="AY32" s="45"/>
      <c r="AZ32" s="45"/>
    </row>
    <row r="33" spans="2:52" x14ac:dyDescent="0.25">
      <c r="B33" s="41" t="str">
        <f>IF('Indice Plan'!$D31 = "", "", 'Indice Plan'!$D31)</f>
        <v>3100</v>
      </c>
      <c r="C33" s="44" t="str">
        <f t="shared" si="0"/>
        <v>CIRCULATION DES CABLES AERIENS &amp; ENTERRES</v>
      </c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5"/>
      <c r="AN33" s="45"/>
      <c r="AO33" s="45"/>
      <c r="AP33" s="45"/>
      <c r="AQ33" s="45"/>
      <c r="AR33" s="45"/>
      <c r="AS33" s="45"/>
      <c r="AT33" s="45"/>
      <c r="AU33" s="45"/>
      <c r="AV33" s="45"/>
      <c r="AW33" s="45"/>
      <c r="AX33" s="45"/>
      <c r="AY33" s="45"/>
      <c r="AZ33" s="45"/>
    </row>
    <row r="34" spans="2:52" x14ac:dyDescent="0.25">
      <c r="B34" s="41" t="str">
        <f>IF('Indice Plan'!$D32 = "", "", 'Indice Plan'!$D32)</f>
        <v>3110</v>
      </c>
      <c r="C34" s="44" t="str">
        <f t="shared" si="0"/>
        <v>CIRCULATION DES CABLES AERIENS &amp; ENTERRES</v>
      </c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5"/>
      <c r="AI34" s="45"/>
      <c r="AJ34" s="45"/>
      <c r="AK34" s="45"/>
      <c r="AL34" s="45"/>
      <c r="AM34" s="45"/>
      <c r="AN34" s="45"/>
      <c r="AO34" s="45"/>
      <c r="AP34" s="45"/>
      <c r="AQ34" s="45"/>
      <c r="AR34" s="45"/>
      <c r="AS34" s="45"/>
      <c r="AT34" s="45"/>
      <c r="AU34" s="45"/>
      <c r="AV34" s="45"/>
      <c r="AW34" s="45"/>
      <c r="AX34" s="45"/>
      <c r="AY34" s="45"/>
      <c r="AZ34" s="45"/>
    </row>
    <row r="35" spans="2:52" x14ac:dyDescent="0.25">
      <c r="B35" s="41" t="str">
        <f>IF('Indice Plan'!$D33 = "", "", 'Indice Plan'!$D33)</f>
        <v>4010</v>
      </c>
      <c r="C35" s="44" t="str">
        <f t="shared" si="0"/>
        <v>STRUCTURE POUR EQUIPEMENTS ELECTRIQUES</v>
      </c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5"/>
      <c r="AI35" s="45"/>
      <c r="AJ35" s="45"/>
      <c r="AK35" s="45"/>
      <c r="AL35" s="45"/>
      <c r="AM35" s="45"/>
      <c r="AN35" s="45"/>
      <c r="AO35" s="45"/>
      <c r="AP35" s="45"/>
      <c r="AQ35" s="45"/>
      <c r="AR35" s="45"/>
      <c r="AS35" s="45"/>
      <c r="AT35" s="45"/>
      <c r="AU35" s="45"/>
      <c r="AV35" s="45"/>
      <c r="AW35" s="45"/>
      <c r="AX35" s="45"/>
      <c r="AY35" s="45"/>
      <c r="AZ35" s="45"/>
    </row>
    <row r="36" spans="2:52" x14ac:dyDescent="0.25">
      <c r="B36" s="41" t="str">
        <f>IF('Indice Plan'!$D34 = "", "", 'Indice Plan'!$D34)</f>
        <v>4020</v>
      </c>
      <c r="C36" s="44" t="str">
        <f t="shared" si="0"/>
        <v>POSTE DE CONVERSION</v>
      </c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5"/>
      <c r="AI36" s="45"/>
      <c r="AJ36" s="45"/>
      <c r="AK36" s="45"/>
      <c r="AL36" s="45"/>
      <c r="AM36" s="45"/>
      <c r="AN36" s="45"/>
      <c r="AO36" s="45"/>
      <c r="AP36" s="45"/>
      <c r="AQ36" s="45"/>
      <c r="AR36" s="45"/>
      <c r="AS36" s="45"/>
      <c r="AT36" s="45"/>
      <c r="AU36" s="45"/>
      <c r="AV36" s="45"/>
      <c r="AW36" s="45"/>
      <c r="AX36" s="45"/>
      <c r="AY36" s="45"/>
      <c r="AZ36" s="45"/>
    </row>
    <row r="37" spans="2:52" x14ac:dyDescent="0.25">
      <c r="B37" s="41" t="str">
        <f>IF('Indice Plan'!$D35 = "", "", 'Indice Plan'!$D35)</f>
        <v>4030</v>
      </c>
      <c r="C37" s="44" t="str">
        <f t="shared" ref="C37:C68" si="1">IF($B37 = "", "", VLOOKUP($B37,Ind_Ombrière,2))</f>
        <v>POSTE DE LIVRAISON</v>
      </c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  <c r="AI37" s="45"/>
      <c r="AJ37" s="45"/>
      <c r="AK37" s="45"/>
      <c r="AL37" s="45"/>
      <c r="AM37" s="45"/>
      <c r="AN37" s="45"/>
      <c r="AO37" s="45"/>
      <c r="AP37" s="45"/>
      <c r="AQ37" s="45"/>
      <c r="AR37" s="45"/>
      <c r="AS37" s="45"/>
      <c r="AT37" s="45"/>
      <c r="AU37" s="45"/>
      <c r="AV37" s="45"/>
      <c r="AW37" s="45"/>
      <c r="AX37" s="45"/>
      <c r="AY37" s="45"/>
      <c r="AZ37" s="45"/>
    </row>
    <row r="38" spans="2:52" x14ac:dyDescent="0.25">
      <c r="B38" s="41" t="str">
        <f>IF('Indice Plan'!$D36 = "", "", 'Indice Plan'!$D36)</f>
        <v>5010</v>
      </c>
      <c r="C38" s="44" t="str">
        <f t="shared" si="1"/>
        <v>AMENAGEMENTS CHANTIER - BASE VIE &amp;  ZONES DE STOCKAGE</v>
      </c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5"/>
      <c r="AN38" s="45"/>
      <c r="AO38" s="45"/>
      <c r="AP38" s="45"/>
      <c r="AQ38" s="45"/>
      <c r="AR38" s="45"/>
      <c r="AS38" s="45"/>
      <c r="AT38" s="45"/>
      <c r="AU38" s="45"/>
      <c r="AV38" s="45"/>
      <c r="AW38" s="45"/>
      <c r="AX38" s="45"/>
      <c r="AY38" s="45"/>
      <c r="AZ38" s="45"/>
    </row>
    <row r="39" spans="2:52" x14ac:dyDescent="0.25">
      <c r="B39" s="41" t="str">
        <f>IF('Indice Plan'!$D37 = "", "", 'Indice Plan'!$D37)</f>
        <v>5030</v>
      </c>
      <c r="C39" s="44" t="str">
        <f t="shared" si="1"/>
        <v>AMENAGEMENTS CHANTIER - CIRCULATION DES ENGINS ET LEVAGE DES POSTES</v>
      </c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5"/>
      <c r="AI39" s="45"/>
      <c r="AJ39" s="45"/>
      <c r="AK39" s="45"/>
      <c r="AL39" s="45"/>
      <c r="AM39" s="45"/>
      <c r="AN39" s="45"/>
      <c r="AO39" s="45"/>
      <c r="AP39" s="45"/>
      <c r="AQ39" s="45"/>
      <c r="AR39" s="45"/>
      <c r="AS39" s="45"/>
      <c r="AT39" s="45"/>
      <c r="AU39" s="45"/>
      <c r="AV39" s="45"/>
      <c r="AW39" s="45"/>
      <c r="AX39" s="45"/>
      <c r="AY39" s="45"/>
      <c r="AZ39" s="45"/>
    </row>
    <row r="40" spans="2:52" x14ac:dyDescent="0.25">
      <c r="B40" s="41" t="str">
        <f>IF('Indice Plan'!$D38 = "", "", 'Indice Plan'!$D38)</f>
        <v>6010</v>
      </c>
      <c r="C40" s="44" t="str">
        <f t="shared" si="1"/>
        <v xml:space="preserve">PLATEFORMES PROJETEES - DEBLAIS &amp; REMBLAIS </v>
      </c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5"/>
      <c r="AI40" s="45"/>
      <c r="AJ40" s="45"/>
      <c r="AK40" s="45"/>
      <c r="AL40" s="45"/>
      <c r="AM40" s="45"/>
      <c r="AN40" s="45"/>
      <c r="AO40" s="45"/>
      <c r="AP40" s="45"/>
      <c r="AQ40" s="45"/>
      <c r="AR40" s="45"/>
      <c r="AS40" s="45"/>
      <c r="AT40" s="45"/>
      <c r="AU40" s="45"/>
      <c r="AV40" s="45"/>
      <c r="AW40" s="45"/>
      <c r="AX40" s="45"/>
      <c r="AY40" s="45"/>
      <c r="AZ40" s="45"/>
    </row>
    <row r="41" spans="2:52" x14ac:dyDescent="0.25">
      <c r="B41" s="41" t="str">
        <f>IF('Indice Plan'!$D39 = "", "", 'Indice Plan'!$D39)</f>
        <v>6020</v>
      </c>
      <c r="C41" s="44" t="str">
        <f t="shared" si="1"/>
        <v xml:space="preserve">NIVELLEMENT ET OUVRAGES DE GESTION DES EAUX PLUVIALES </v>
      </c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5"/>
      <c r="AN41" s="45"/>
      <c r="AO41" s="45"/>
      <c r="AP41" s="45"/>
      <c r="AQ41" s="45"/>
      <c r="AR41" s="45"/>
      <c r="AS41" s="45"/>
      <c r="AT41" s="45"/>
      <c r="AU41" s="45"/>
      <c r="AV41" s="45"/>
      <c r="AW41" s="45"/>
      <c r="AX41" s="45"/>
      <c r="AY41" s="45"/>
      <c r="AZ41" s="45"/>
    </row>
    <row r="42" spans="2:52" x14ac:dyDescent="0.25">
      <c r="B42" s="41" t="str">
        <f>IF('Indice Plan'!$D40 = "", "", 'Indice Plan'!$D40)</f>
        <v>6030</v>
      </c>
      <c r="C42" s="44" t="str">
        <f t="shared" si="1"/>
        <v>COUPE SUR TERRAIN PROJETE</v>
      </c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5"/>
      <c r="AI42" s="45"/>
      <c r="AJ42" s="45"/>
      <c r="AK42" s="45"/>
      <c r="AL42" s="45"/>
      <c r="AM42" s="45"/>
      <c r="AN42" s="45"/>
      <c r="AO42" s="45"/>
      <c r="AP42" s="45"/>
      <c r="AQ42" s="45"/>
      <c r="AR42" s="45"/>
      <c r="AS42" s="45"/>
      <c r="AT42" s="45"/>
      <c r="AU42" s="45"/>
      <c r="AV42" s="45"/>
      <c r="AW42" s="45"/>
      <c r="AX42" s="45"/>
      <c r="AY42" s="45"/>
      <c r="AZ42" s="45"/>
    </row>
    <row r="43" spans="2:52" x14ac:dyDescent="0.25">
      <c r="B43" s="41" t="str">
        <f>IF('Indice Plan'!$D41 = "", "", 'Indice Plan'!$D41)</f>
        <v>7010</v>
      </c>
      <c r="C43" s="44" t="str">
        <f t="shared" si="1"/>
        <v>PLAN DE MAITRISE FONCIERE</v>
      </c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5"/>
      <c r="AI43" s="45"/>
      <c r="AJ43" s="45"/>
      <c r="AK43" s="45"/>
      <c r="AL43" s="45"/>
      <c r="AM43" s="45"/>
      <c r="AN43" s="45"/>
      <c r="AO43" s="45"/>
      <c r="AP43" s="45"/>
      <c r="AQ43" s="45"/>
      <c r="AR43" s="45"/>
      <c r="AS43" s="45"/>
      <c r="AT43" s="45"/>
      <c r="AU43" s="45"/>
      <c r="AV43" s="45"/>
      <c r="AW43" s="45"/>
      <c r="AX43" s="45"/>
      <c r="AY43" s="45"/>
      <c r="AZ43" s="45"/>
    </row>
    <row r="44" spans="2:52" x14ac:dyDescent="0.25">
      <c r="B44" s="41" t="str">
        <f>IF('Indice Plan'!$D42 = "", "", 'Indice Plan'!$D42)</f>
        <v>7020</v>
      </c>
      <c r="C44" s="44" t="str">
        <f t="shared" si="1"/>
        <v>PLAN DES SERVITUDES</v>
      </c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  <c r="AP44" s="45"/>
      <c r="AQ44" s="45"/>
      <c r="AR44" s="45"/>
      <c r="AS44" s="45"/>
      <c r="AT44" s="45"/>
      <c r="AU44" s="45"/>
      <c r="AV44" s="45"/>
      <c r="AW44" s="45"/>
      <c r="AX44" s="45"/>
      <c r="AY44" s="45"/>
      <c r="AZ44" s="45"/>
    </row>
    <row r="45" spans="2:52" x14ac:dyDescent="0.25">
      <c r="B45" s="41" t="str">
        <f>IF('Indice Plan'!$D43 = "", "", 'Indice Plan'!$D43)</f>
        <v>7030</v>
      </c>
      <c r="C45" s="44" t="str">
        <f t="shared" si="1"/>
        <v>IDENTIFICATION DES LOTS PRIS A BAIL</v>
      </c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</row>
    <row r="46" spans="2:52" x14ac:dyDescent="0.25">
      <c r="B46" s="41" t="str">
        <f>IF('Indice Plan'!$D44 = "", "", 'Indice Plan'!$D44)</f>
        <v>7040</v>
      </c>
      <c r="C46" s="44" t="str">
        <f t="shared" si="1"/>
        <v>IDENTIFICATION DU LOT DE VOLUME</v>
      </c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  <c r="AJ46" s="45"/>
      <c r="AK46" s="45"/>
      <c r="AL46" s="45"/>
      <c r="AM46" s="45"/>
      <c r="AN46" s="45"/>
      <c r="AO46" s="45"/>
      <c r="AP46" s="45"/>
      <c r="AQ46" s="45"/>
      <c r="AR46" s="45"/>
      <c r="AS46" s="45"/>
      <c r="AT46" s="45"/>
      <c r="AU46" s="45"/>
      <c r="AV46" s="45"/>
      <c r="AW46" s="45"/>
      <c r="AX46" s="45"/>
      <c r="AY46" s="45"/>
      <c r="AZ46" s="45"/>
    </row>
    <row r="47" spans="2:52" x14ac:dyDescent="0.25">
      <c r="B47" s="41" t="str">
        <f>IF('Indice Plan'!$D45 = "", "", 'Indice Plan'!$D45)</f>
        <v/>
      </c>
      <c r="C47" s="44" t="str">
        <f t="shared" si="1"/>
        <v/>
      </c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5"/>
      <c r="AI47" s="45"/>
      <c r="AJ47" s="45"/>
      <c r="AK47" s="45"/>
      <c r="AL47" s="45"/>
      <c r="AM47" s="45"/>
      <c r="AN47" s="45"/>
      <c r="AO47" s="45"/>
      <c r="AP47" s="45"/>
      <c r="AQ47" s="45"/>
      <c r="AR47" s="45"/>
      <c r="AS47" s="45"/>
      <c r="AT47" s="45"/>
      <c r="AU47" s="45"/>
      <c r="AV47" s="45"/>
      <c r="AW47" s="45"/>
      <c r="AX47" s="45"/>
      <c r="AY47" s="45"/>
      <c r="AZ47" s="45"/>
    </row>
    <row r="48" spans="2:52" x14ac:dyDescent="0.25">
      <c r="B48" s="41" t="str">
        <f>IF('Indice Plan'!$D46 = "", "", 'Indice Plan'!$D46)</f>
        <v/>
      </c>
      <c r="C48" s="44" t="str">
        <f t="shared" si="1"/>
        <v/>
      </c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5"/>
      <c r="AI48" s="45"/>
      <c r="AJ48" s="45"/>
      <c r="AK48" s="45"/>
      <c r="AL48" s="45"/>
      <c r="AM48" s="45"/>
      <c r="AN48" s="45"/>
      <c r="AO48" s="45"/>
      <c r="AP48" s="45"/>
      <c r="AQ48" s="45"/>
      <c r="AR48" s="45"/>
      <c r="AS48" s="45"/>
      <c r="AT48" s="45"/>
      <c r="AU48" s="45"/>
      <c r="AV48" s="45"/>
      <c r="AW48" s="45"/>
      <c r="AX48" s="45"/>
      <c r="AY48" s="45"/>
      <c r="AZ48" s="45"/>
    </row>
    <row r="49" spans="2:52" x14ac:dyDescent="0.25">
      <c r="B49" s="41" t="str">
        <f>IF('Indice Plan'!$D47 = "", "", 'Indice Plan'!$D47)</f>
        <v/>
      </c>
      <c r="C49" s="44" t="str">
        <f t="shared" si="1"/>
        <v/>
      </c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5"/>
      <c r="AI49" s="45"/>
      <c r="AJ49" s="45"/>
      <c r="AK49" s="45"/>
      <c r="AL49" s="45"/>
      <c r="AM49" s="45"/>
      <c r="AN49" s="45"/>
      <c r="AO49" s="45"/>
      <c r="AP49" s="45"/>
      <c r="AQ49" s="45"/>
      <c r="AR49" s="45"/>
      <c r="AS49" s="45"/>
      <c r="AT49" s="45"/>
      <c r="AU49" s="45"/>
      <c r="AV49" s="45"/>
      <c r="AW49" s="45"/>
      <c r="AX49" s="45"/>
      <c r="AY49" s="45"/>
      <c r="AZ49" s="45"/>
    </row>
    <row r="50" spans="2:52" x14ac:dyDescent="0.25">
      <c r="B50" s="41" t="str">
        <f>IF('Indice Plan'!$D48 = "", "", 'Indice Plan'!$D48)</f>
        <v/>
      </c>
      <c r="C50" s="44" t="str">
        <f t="shared" si="1"/>
        <v/>
      </c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5"/>
      <c r="AM50" s="45"/>
      <c r="AN50" s="45"/>
      <c r="AO50" s="45"/>
      <c r="AP50" s="45"/>
      <c r="AQ50" s="45"/>
      <c r="AR50" s="45"/>
      <c r="AS50" s="45"/>
      <c r="AT50" s="45"/>
      <c r="AU50" s="45"/>
      <c r="AV50" s="45"/>
      <c r="AW50" s="45"/>
      <c r="AX50" s="45"/>
      <c r="AY50" s="45"/>
      <c r="AZ50" s="45"/>
    </row>
    <row r="51" spans="2:52" x14ac:dyDescent="0.25">
      <c r="B51" s="41" t="str">
        <f>IF('Indice Plan'!$D49 = "", "", 'Indice Plan'!$D49)</f>
        <v/>
      </c>
      <c r="C51" s="44" t="str">
        <f t="shared" si="1"/>
        <v/>
      </c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5"/>
      <c r="AX51" s="45"/>
      <c r="AY51" s="45"/>
      <c r="AZ51" s="45"/>
    </row>
    <row r="52" spans="2:52" x14ac:dyDescent="0.25">
      <c r="B52" s="41" t="str">
        <f>IF('Indice Plan'!$D50 = "", "", 'Indice Plan'!$D50)</f>
        <v/>
      </c>
      <c r="C52" s="44" t="str">
        <f t="shared" si="1"/>
        <v/>
      </c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45"/>
      <c r="AW52" s="45"/>
      <c r="AX52" s="45"/>
      <c r="AY52" s="45"/>
      <c r="AZ52" s="45"/>
    </row>
    <row r="53" spans="2:52" x14ac:dyDescent="0.25">
      <c r="B53" s="41" t="str">
        <f>IF('Indice Plan'!$D51 = "", "", 'Indice Plan'!$D51)</f>
        <v/>
      </c>
      <c r="C53" s="44" t="str">
        <f t="shared" si="1"/>
        <v/>
      </c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5"/>
      <c r="AX53" s="45"/>
      <c r="AY53" s="45"/>
      <c r="AZ53" s="45"/>
    </row>
    <row r="54" spans="2:52" x14ac:dyDescent="0.25">
      <c r="B54" s="41" t="str">
        <f>IF('Indice Plan'!$D52 = "", "", 'Indice Plan'!$D52)</f>
        <v/>
      </c>
      <c r="C54" s="44" t="str">
        <f t="shared" si="1"/>
        <v/>
      </c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5"/>
      <c r="AN54" s="45"/>
      <c r="AO54" s="45"/>
      <c r="AP54" s="45"/>
      <c r="AQ54" s="45"/>
      <c r="AR54" s="45"/>
      <c r="AS54" s="45"/>
      <c r="AT54" s="45"/>
      <c r="AU54" s="45"/>
      <c r="AV54" s="45"/>
      <c r="AW54" s="45"/>
      <c r="AX54" s="45"/>
      <c r="AY54" s="45"/>
      <c r="AZ54" s="45"/>
    </row>
    <row r="55" spans="2:52" x14ac:dyDescent="0.25">
      <c r="B55" s="41" t="str">
        <f>IF('Indice Plan'!$D53 = "", "", 'Indice Plan'!$D53)</f>
        <v/>
      </c>
      <c r="C55" s="44" t="str">
        <f t="shared" si="1"/>
        <v/>
      </c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</row>
    <row r="56" spans="2:52" x14ac:dyDescent="0.25">
      <c r="B56" s="41" t="str">
        <f>IF('Indice Plan'!$D54 = "", "", 'Indice Plan'!$D54)</f>
        <v/>
      </c>
      <c r="C56" s="44" t="str">
        <f t="shared" si="1"/>
        <v/>
      </c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</row>
    <row r="57" spans="2:52" x14ac:dyDescent="0.25">
      <c r="B57" s="41" t="str">
        <f>IF('Indice Plan'!$D55 = "", "", 'Indice Plan'!$D55)</f>
        <v/>
      </c>
      <c r="C57" s="44" t="str">
        <f t="shared" si="1"/>
        <v/>
      </c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  <c r="AX57" s="45"/>
      <c r="AY57" s="45"/>
      <c r="AZ57" s="45"/>
    </row>
    <row r="58" spans="2:52" x14ac:dyDescent="0.25">
      <c r="B58" s="41" t="str">
        <f>IF('Indice Plan'!$D56 = "", "", 'Indice Plan'!$D56)</f>
        <v/>
      </c>
      <c r="C58" s="44" t="str">
        <f t="shared" si="1"/>
        <v/>
      </c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  <c r="AX58" s="45"/>
      <c r="AY58" s="45"/>
      <c r="AZ58" s="45"/>
    </row>
    <row r="59" spans="2:52" x14ac:dyDescent="0.25">
      <c r="B59" s="41" t="str">
        <f>IF('Indice Plan'!$D57 = "", "", 'Indice Plan'!$D57)</f>
        <v/>
      </c>
      <c r="C59" s="44" t="str">
        <f t="shared" si="1"/>
        <v/>
      </c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  <c r="AX59" s="45"/>
      <c r="AY59" s="45"/>
      <c r="AZ59" s="45"/>
    </row>
    <row r="60" spans="2:52" x14ac:dyDescent="0.25">
      <c r="B60" s="41" t="str">
        <f>IF('Indice Plan'!$D58 = "", "", 'Indice Plan'!$D58)</f>
        <v/>
      </c>
      <c r="C60" s="44" t="str">
        <f t="shared" si="1"/>
        <v/>
      </c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  <c r="AX60" s="45"/>
      <c r="AY60" s="45"/>
      <c r="AZ60" s="45"/>
    </row>
    <row r="61" spans="2:52" x14ac:dyDescent="0.25">
      <c r="B61" s="41" t="str">
        <f>IF('Indice Plan'!$D59 = "", "", 'Indice Plan'!$D59)</f>
        <v/>
      </c>
      <c r="C61" s="44" t="str">
        <f t="shared" si="1"/>
        <v/>
      </c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45"/>
      <c r="AZ61" s="45"/>
    </row>
    <row r="62" spans="2:52" x14ac:dyDescent="0.25">
      <c r="B62" s="41" t="str">
        <f>IF('Indice Plan'!$D60 = "", "", 'Indice Plan'!$D60)</f>
        <v/>
      </c>
      <c r="C62" s="44" t="str">
        <f t="shared" si="1"/>
        <v/>
      </c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45"/>
      <c r="AZ62" s="45"/>
    </row>
    <row r="63" spans="2:52" x14ac:dyDescent="0.25">
      <c r="B63" s="41" t="str">
        <f>IF('Indice Plan'!$D61 = "", "", 'Indice Plan'!$D61)</f>
        <v/>
      </c>
      <c r="C63" s="44" t="str">
        <f t="shared" si="1"/>
        <v/>
      </c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</row>
    <row r="64" spans="2:52" x14ac:dyDescent="0.25">
      <c r="B64" s="41" t="str">
        <f>IF('Indice Plan'!$D62 = "", "", 'Indice Plan'!$D62)</f>
        <v/>
      </c>
      <c r="C64" s="44" t="str">
        <f t="shared" si="1"/>
        <v/>
      </c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45"/>
      <c r="AZ64" s="45"/>
    </row>
    <row r="65" spans="2:52" x14ac:dyDescent="0.25">
      <c r="B65" s="41" t="str">
        <f>IF('Indice Plan'!$D63 = "", "", 'Indice Plan'!$D63)</f>
        <v/>
      </c>
      <c r="C65" s="44" t="str">
        <f t="shared" si="1"/>
        <v/>
      </c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45"/>
      <c r="AZ65" s="45"/>
    </row>
    <row r="66" spans="2:52" x14ac:dyDescent="0.25">
      <c r="B66" s="41" t="str">
        <f>IF('Indice Plan'!$D64 = "", "", 'Indice Plan'!$D64)</f>
        <v/>
      </c>
      <c r="C66" s="44" t="str">
        <f t="shared" si="1"/>
        <v/>
      </c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  <c r="AZ66" s="45"/>
    </row>
    <row r="67" spans="2:52" x14ac:dyDescent="0.25">
      <c r="B67" s="41" t="str">
        <f>IF('Indice Plan'!$D65 = "", "", 'Indice Plan'!$D65)</f>
        <v/>
      </c>
      <c r="C67" s="44" t="str">
        <f t="shared" si="1"/>
        <v/>
      </c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  <c r="AK67" s="45"/>
      <c r="AL67" s="45"/>
      <c r="AM67" s="45"/>
      <c r="AN67" s="45"/>
      <c r="AO67" s="45"/>
      <c r="AP67" s="45"/>
      <c r="AQ67" s="45"/>
      <c r="AR67" s="45"/>
      <c r="AS67" s="45"/>
      <c r="AT67" s="45"/>
      <c r="AU67" s="45"/>
      <c r="AV67" s="45"/>
      <c r="AW67" s="45"/>
      <c r="AX67" s="45"/>
      <c r="AY67" s="45"/>
      <c r="AZ67" s="45"/>
    </row>
    <row r="68" spans="2:52" x14ac:dyDescent="0.25">
      <c r="B68" s="41" t="str">
        <f>IF('Indice Plan'!$D66 = "", "", 'Indice Plan'!$D66)</f>
        <v/>
      </c>
      <c r="C68" s="44" t="str">
        <f t="shared" si="1"/>
        <v/>
      </c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  <c r="AL68" s="45"/>
      <c r="AM68" s="45"/>
      <c r="AN68" s="45"/>
      <c r="AO68" s="45"/>
      <c r="AP68" s="45"/>
      <c r="AQ68" s="45"/>
      <c r="AR68" s="45"/>
      <c r="AS68" s="45"/>
      <c r="AT68" s="45"/>
      <c r="AU68" s="45"/>
      <c r="AV68" s="45"/>
      <c r="AW68" s="45"/>
      <c r="AX68" s="45"/>
      <c r="AY68" s="45"/>
      <c r="AZ68" s="45"/>
    </row>
    <row r="69" spans="2:52" x14ac:dyDescent="0.25">
      <c r="B69" s="41" t="str">
        <f>IF('Indice Plan'!$D67 = "", "", 'Indice Plan'!$D67)</f>
        <v/>
      </c>
      <c r="C69" s="44" t="str">
        <f t="shared" ref="C69:C100" si="2">IF($B69 = "", "", VLOOKUP($B69,Ind_Ombrière,2))</f>
        <v/>
      </c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  <c r="AZ69" s="45"/>
    </row>
    <row r="70" spans="2:52" x14ac:dyDescent="0.25">
      <c r="B70" s="41" t="str">
        <f>IF('Indice Plan'!$D68 = "", "", 'Indice Plan'!$D68)</f>
        <v/>
      </c>
      <c r="C70" s="44" t="str">
        <f t="shared" si="2"/>
        <v/>
      </c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  <c r="AZ70" s="45"/>
    </row>
    <row r="71" spans="2:52" x14ac:dyDescent="0.25">
      <c r="B71" s="41" t="str">
        <f>IF('Indice Plan'!$D69 = "", "", 'Indice Plan'!$D69)</f>
        <v/>
      </c>
      <c r="C71" s="44" t="str">
        <f t="shared" si="2"/>
        <v/>
      </c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</row>
    <row r="72" spans="2:52" x14ac:dyDescent="0.25">
      <c r="B72" s="41" t="str">
        <f>IF('Indice Plan'!$D70 = "", "", 'Indice Plan'!$D70)</f>
        <v/>
      </c>
      <c r="C72" s="44" t="str">
        <f t="shared" si="2"/>
        <v/>
      </c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</row>
    <row r="73" spans="2:52" x14ac:dyDescent="0.25">
      <c r="B73" s="41" t="str">
        <f>IF('Indice Plan'!$D71 = "", "", 'Indice Plan'!$D71)</f>
        <v/>
      </c>
      <c r="C73" s="44" t="str">
        <f t="shared" si="2"/>
        <v/>
      </c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  <c r="AZ73" s="45"/>
    </row>
    <row r="74" spans="2:52" x14ac:dyDescent="0.25">
      <c r="B74" s="41" t="str">
        <f>IF('Indice Plan'!$D72 = "", "", 'Indice Plan'!$D72)</f>
        <v/>
      </c>
      <c r="C74" s="44" t="str">
        <f t="shared" si="2"/>
        <v/>
      </c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  <c r="AL74" s="45"/>
      <c r="AM74" s="45"/>
      <c r="AN74" s="45"/>
      <c r="AO74" s="45"/>
      <c r="AP74" s="45"/>
      <c r="AQ74" s="45"/>
      <c r="AR74" s="45"/>
      <c r="AS74" s="45"/>
      <c r="AT74" s="45"/>
      <c r="AU74" s="45"/>
      <c r="AV74" s="45"/>
      <c r="AW74" s="45"/>
      <c r="AX74" s="45"/>
      <c r="AY74" s="45"/>
      <c r="AZ74" s="45"/>
    </row>
    <row r="75" spans="2:52" x14ac:dyDescent="0.25">
      <c r="B75" s="41" t="str">
        <f>IF('Indice Plan'!$D73 = "", "", 'Indice Plan'!$D73)</f>
        <v/>
      </c>
      <c r="C75" s="44" t="str">
        <f t="shared" si="2"/>
        <v/>
      </c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  <c r="AL75" s="45"/>
      <c r="AM75" s="45"/>
      <c r="AN75" s="45"/>
      <c r="AO75" s="45"/>
      <c r="AP75" s="45"/>
      <c r="AQ75" s="45"/>
      <c r="AR75" s="45"/>
      <c r="AS75" s="45"/>
      <c r="AT75" s="45"/>
      <c r="AU75" s="45"/>
      <c r="AV75" s="45"/>
      <c r="AW75" s="45"/>
      <c r="AX75" s="45"/>
      <c r="AY75" s="45"/>
      <c r="AZ75" s="45"/>
    </row>
    <row r="76" spans="2:52" x14ac:dyDescent="0.25">
      <c r="B76" s="41" t="str">
        <f>IF('Indice Plan'!$D74 = "", "", 'Indice Plan'!$D74)</f>
        <v/>
      </c>
      <c r="C76" s="44" t="str">
        <f t="shared" si="2"/>
        <v/>
      </c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  <c r="AL76" s="45"/>
      <c r="AM76" s="45"/>
      <c r="AN76" s="45"/>
      <c r="AO76" s="45"/>
      <c r="AP76" s="45"/>
      <c r="AQ76" s="45"/>
      <c r="AR76" s="45"/>
      <c r="AS76" s="45"/>
      <c r="AT76" s="45"/>
      <c r="AU76" s="45"/>
      <c r="AV76" s="45"/>
      <c r="AW76" s="45"/>
      <c r="AX76" s="45"/>
      <c r="AY76" s="45"/>
      <c r="AZ76" s="45"/>
    </row>
    <row r="77" spans="2:52" x14ac:dyDescent="0.25">
      <c r="B77" s="41" t="str">
        <f>IF('Indice Plan'!$D75 = "", "", 'Indice Plan'!$D75)</f>
        <v/>
      </c>
      <c r="C77" s="44" t="str">
        <f t="shared" si="2"/>
        <v/>
      </c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  <c r="AJ77" s="45"/>
      <c r="AK77" s="45"/>
      <c r="AL77" s="45"/>
      <c r="AM77" s="45"/>
      <c r="AN77" s="45"/>
      <c r="AO77" s="45"/>
      <c r="AP77" s="45"/>
      <c r="AQ77" s="45"/>
      <c r="AR77" s="45"/>
      <c r="AS77" s="45"/>
      <c r="AT77" s="45"/>
      <c r="AU77" s="45"/>
      <c r="AV77" s="45"/>
      <c r="AW77" s="45"/>
      <c r="AX77" s="45"/>
      <c r="AY77" s="45"/>
      <c r="AZ77" s="45"/>
    </row>
    <row r="78" spans="2:52" x14ac:dyDescent="0.25">
      <c r="B78" s="41" t="str">
        <f>IF('Indice Plan'!$D76 = "", "", 'Indice Plan'!$D76)</f>
        <v/>
      </c>
      <c r="C78" s="44" t="str">
        <f t="shared" si="2"/>
        <v/>
      </c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  <c r="AL78" s="45"/>
      <c r="AM78" s="45"/>
      <c r="AN78" s="45"/>
      <c r="AO78" s="45"/>
      <c r="AP78" s="45"/>
      <c r="AQ78" s="45"/>
      <c r="AR78" s="45"/>
      <c r="AS78" s="45"/>
      <c r="AT78" s="45"/>
      <c r="AU78" s="45"/>
      <c r="AV78" s="45"/>
      <c r="AW78" s="45"/>
      <c r="AX78" s="45"/>
      <c r="AY78" s="45"/>
      <c r="AZ78" s="45"/>
    </row>
    <row r="79" spans="2:52" x14ac:dyDescent="0.25">
      <c r="B79" s="41" t="str">
        <f>IF('Indice Plan'!$D77 = "", "", 'Indice Plan'!$D77)</f>
        <v/>
      </c>
      <c r="C79" s="44" t="str">
        <f t="shared" si="2"/>
        <v/>
      </c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  <c r="AL79" s="45"/>
      <c r="AM79" s="45"/>
      <c r="AN79" s="45"/>
      <c r="AO79" s="45"/>
      <c r="AP79" s="45"/>
      <c r="AQ79" s="45"/>
      <c r="AR79" s="45"/>
      <c r="AS79" s="45"/>
      <c r="AT79" s="45"/>
      <c r="AU79" s="45"/>
      <c r="AV79" s="45"/>
      <c r="AW79" s="45"/>
      <c r="AX79" s="45"/>
      <c r="AY79" s="45"/>
      <c r="AZ79" s="45"/>
    </row>
    <row r="80" spans="2:52" x14ac:dyDescent="0.25">
      <c r="B80" s="41" t="str">
        <f>IF('Indice Plan'!$D78 = "", "", 'Indice Plan'!$D78)</f>
        <v/>
      </c>
      <c r="C80" s="44" t="str">
        <f t="shared" si="2"/>
        <v/>
      </c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  <c r="AJ80" s="45"/>
      <c r="AK80" s="45"/>
      <c r="AL80" s="45"/>
      <c r="AM80" s="45"/>
      <c r="AN80" s="45"/>
      <c r="AO80" s="45"/>
      <c r="AP80" s="45"/>
      <c r="AQ80" s="45"/>
      <c r="AR80" s="45"/>
      <c r="AS80" s="45"/>
      <c r="AT80" s="45"/>
      <c r="AU80" s="45"/>
      <c r="AV80" s="45"/>
      <c r="AW80" s="45"/>
      <c r="AX80" s="45"/>
      <c r="AY80" s="45"/>
      <c r="AZ80" s="45"/>
    </row>
    <row r="81" spans="2:52" x14ac:dyDescent="0.25">
      <c r="B81" s="41" t="str">
        <f>IF('Indice Plan'!$D79 = "", "", 'Indice Plan'!$D79)</f>
        <v/>
      </c>
      <c r="C81" s="44" t="str">
        <f t="shared" si="2"/>
        <v/>
      </c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  <c r="AJ81" s="45"/>
      <c r="AK81" s="45"/>
      <c r="AL81" s="45"/>
      <c r="AM81" s="45"/>
      <c r="AN81" s="45"/>
      <c r="AO81" s="45"/>
      <c r="AP81" s="45"/>
      <c r="AQ81" s="45"/>
      <c r="AR81" s="45"/>
      <c r="AS81" s="45"/>
      <c r="AT81" s="45"/>
      <c r="AU81" s="45"/>
      <c r="AV81" s="45"/>
      <c r="AW81" s="45"/>
      <c r="AX81" s="45"/>
      <c r="AY81" s="45"/>
      <c r="AZ81" s="45"/>
    </row>
    <row r="82" spans="2:52" x14ac:dyDescent="0.25">
      <c r="B82" s="41" t="str">
        <f>IF('Indice Plan'!$D80 = "", "", 'Indice Plan'!$D80)</f>
        <v/>
      </c>
      <c r="C82" s="44" t="str">
        <f t="shared" si="2"/>
        <v/>
      </c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5"/>
      <c r="AI82" s="45"/>
      <c r="AJ82" s="45"/>
      <c r="AK82" s="45"/>
      <c r="AL82" s="45"/>
      <c r="AM82" s="45"/>
      <c r="AN82" s="45"/>
      <c r="AO82" s="45"/>
      <c r="AP82" s="45"/>
      <c r="AQ82" s="45"/>
      <c r="AR82" s="45"/>
      <c r="AS82" s="45"/>
      <c r="AT82" s="45"/>
      <c r="AU82" s="45"/>
      <c r="AV82" s="45"/>
      <c r="AW82" s="45"/>
      <c r="AX82" s="45"/>
      <c r="AY82" s="45"/>
      <c r="AZ82" s="45"/>
    </row>
    <row r="83" spans="2:52" x14ac:dyDescent="0.25">
      <c r="B83" s="41" t="str">
        <f>IF('Indice Plan'!$D81 = "", "", 'Indice Plan'!$D81)</f>
        <v/>
      </c>
      <c r="C83" s="44" t="str">
        <f t="shared" si="2"/>
        <v/>
      </c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5"/>
      <c r="AI83" s="45"/>
      <c r="AJ83" s="45"/>
      <c r="AK83" s="45"/>
      <c r="AL83" s="45"/>
      <c r="AM83" s="45"/>
      <c r="AN83" s="45"/>
      <c r="AO83" s="45"/>
      <c r="AP83" s="45"/>
      <c r="AQ83" s="45"/>
      <c r="AR83" s="45"/>
      <c r="AS83" s="45"/>
      <c r="AT83" s="45"/>
      <c r="AU83" s="45"/>
      <c r="AV83" s="45"/>
      <c r="AW83" s="45"/>
      <c r="AX83" s="45"/>
      <c r="AY83" s="45"/>
      <c r="AZ83" s="45"/>
    </row>
    <row r="84" spans="2:52" x14ac:dyDescent="0.25">
      <c r="B84" s="41" t="str">
        <f>IF('Indice Plan'!$D82 = "", "", 'Indice Plan'!$D82)</f>
        <v/>
      </c>
      <c r="C84" s="44" t="str">
        <f t="shared" si="2"/>
        <v/>
      </c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5"/>
      <c r="AI84" s="45"/>
      <c r="AJ84" s="45"/>
      <c r="AK84" s="45"/>
      <c r="AL84" s="45"/>
      <c r="AM84" s="45"/>
      <c r="AN84" s="45"/>
      <c r="AO84" s="45"/>
      <c r="AP84" s="45"/>
      <c r="AQ84" s="45"/>
      <c r="AR84" s="45"/>
      <c r="AS84" s="45"/>
      <c r="AT84" s="45"/>
      <c r="AU84" s="45"/>
      <c r="AV84" s="45"/>
      <c r="AW84" s="45"/>
      <c r="AX84" s="45"/>
      <c r="AY84" s="45"/>
      <c r="AZ84" s="45"/>
    </row>
    <row r="85" spans="2:52" x14ac:dyDescent="0.25">
      <c r="B85" s="41" t="str">
        <f>IF('Indice Plan'!$D83 = "", "", 'Indice Plan'!$D83)</f>
        <v/>
      </c>
      <c r="C85" s="44" t="str">
        <f t="shared" si="2"/>
        <v/>
      </c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5"/>
      <c r="AI85" s="45"/>
      <c r="AJ85" s="45"/>
      <c r="AK85" s="45"/>
      <c r="AL85" s="45"/>
      <c r="AM85" s="45"/>
      <c r="AN85" s="45"/>
      <c r="AO85" s="45"/>
      <c r="AP85" s="45"/>
      <c r="AQ85" s="45"/>
      <c r="AR85" s="45"/>
      <c r="AS85" s="45"/>
      <c r="AT85" s="45"/>
      <c r="AU85" s="45"/>
      <c r="AV85" s="45"/>
      <c r="AW85" s="45"/>
      <c r="AX85" s="45"/>
      <c r="AY85" s="45"/>
      <c r="AZ85" s="45"/>
    </row>
    <row r="86" spans="2:52" x14ac:dyDescent="0.25">
      <c r="B86" s="41" t="str">
        <f>IF('Indice Plan'!$D84 = "", "", 'Indice Plan'!$D84)</f>
        <v/>
      </c>
      <c r="C86" s="44" t="str">
        <f t="shared" si="2"/>
        <v/>
      </c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5"/>
      <c r="AI86" s="45"/>
      <c r="AJ86" s="45"/>
      <c r="AK86" s="45"/>
      <c r="AL86" s="45"/>
      <c r="AM86" s="45"/>
      <c r="AN86" s="45"/>
      <c r="AO86" s="45"/>
      <c r="AP86" s="45"/>
      <c r="AQ86" s="45"/>
      <c r="AR86" s="45"/>
      <c r="AS86" s="45"/>
      <c r="AT86" s="45"/>
      <c r="AU86" s="45"/>
      <c r="AV86" s="45"/>
      <c r="AW86" s="45"/>
      <c r="AX86" s="45"/>
      <c r="AY86" s="45"/>
      <c r="AZ86" s="45"/>
    </row>
    <row r="87" spans="2:52" x14ac:dyDescent="0.25">
      <c r="B87" s="41" t="str">
        <f>IF('Indice Plan'!$D85 = "", "", 'Indice Plan'!$D85)</f>
        <v/>
      </c>
      <c r="C87" s="44" t="str">
        <f t="shared" si="2"/>
        <v/>
      </c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5"/>
      <c r="AI87" s="45"/>
      <c r="AJ87" s="45"/>
      <c r="AK87" s="45"/>
      <c r="AL87" s="45"/>
      <c r="AM87" s="45"/>
      <c r="AN87" s="45"/>
      <c r="AO87" s="45"/>
      <c r="AP87" s="45"/>
      <c r="AQ87" s="45"/>
      <c r="AR87" s="45"/>
      <c r="AS87" s="45"/>
      <c r="AT87" s="45"/>
      <c r="AU87" s="45"/>
      <c r="AV87" s="45"/>
      <c r="AW87" s="45"/>
      <c r="AX87" s="45"/>
      <c r="AY87" s="45"/>
      <c r="AZ87" s="45"/>
    </row>
    <row r="88" spans="2:52" x14ac:dyDescent="0.25">
      <c r="B88" s="41" t="str">
        <f>IF('Indice Plan'!$D86 = "", "", 'Indice Plan'!$D86)</f>
        <v/>
      </c>
      <c r="C88" s="44" t="str">
        <f t="shared" si="2"/>
        <v/>
      </c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5"/>
      <c r="AI88" s="45"/>
      <c r="AJ88" s="45"/>
      <c r="AK88" s="45"/>
      <c r="AL88" s="45"/>
      <c r="AM88" s="45"/>
      <c r="AN88" s="45"/>
      <c r="AO88" s="45"/>
      <c r="AP88" s="45"/>
      <c r="AQ88" s="45"/>
      <c r="AR88" s="45"/>
      <c r="AS88" s="45"/>
      <c r="AT88" s="45"/>
      <c r="AU88" s="45"/>
      <c r="AV88" s="45"/>
      <c r="AW88" s="45"/>
      <c r="AX88" s="45"/>
      <c r="AY88" s="45"/>
      <c r="AZ88" s="45"/>
    </row>
    <row r="89" spans="2:52" x14ac:dyDescent="0.25">
      <c r="B89" s="41" t="str">
        <f>IF('Indice Plan'!$D87 = "", "", 'Indice Plan'!$D87)</f>
        <v/>
      </c>
      <c r="C89" s="44" t="str">
        <f t="shared" si="2"/>
        <v/>
      </c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5"/>
      <c r="AI89" s="45"/>
      <c r="AJ89" s="45"/>
      <c r="AK89" s="45"/>
      <c r="AL89" s="45"/>
      <c r="AM89" s="45"/>
      <c r="AN89" s="45"/>
      <c r="AO89" s="45"/>
      <c r="AP89" s="45"/>
      <c r="AQ89" s="45"/>
      <c r="AR89" s="45"/>
      <c r="AS89" s="45"/>
      <c r="AT89" s="45"/>
      <c r="AU89" s="45"/>
      <c r="AV89" s="45"/>
      <c r="AW89" s="45"/>
      <c r="AX89" s="45"/>
      <c r="AY89" s="45"/>
      <c r="AZ89" s="45"/>
    </row>
    <row r="90" spans="2:52" x14ac:dyDescent="0.25">
      <c r="B90" s="41" t="str">
        <f>IF('Indice Plan'!$D88 = "", "", 'Indice Plan'!$D88)</f>
        <v/>
      </c>
      <c r="C90" s="44" t="str">
        <f t="shared" si="2"/>
        <v/>
      </c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5"/>
      <c r="AI90" s="45"/>
      <c r="AJ90" s="45"/>
      <c r="AK90" s="45"/>
      <c r="AL90" s="45"/>
      <c r="AM90" s="45"/>
      <c r="AN90" s="45"/>
      <c r="AO90" s="45"/>
      <c r="AP90" s="45"/>
      <c r="AQ90" s="45"/>
      <c r="AR90" s="45"/>
      <c r="AS90" s="45"/>
      <c r="AT90" s="45"/>
      <c r="AU90" s="45"/>
      <c r="AV90" s="45"/>
      <c r="AW90" s="45"/>
      <c r="AX90" s="45"/>
      <c r="AY90" s="45"/>
      <c r="AZ90" s="45"/>
    </row>
    <row r="91" spans="2:52" x14ac:dyDescent="0.25">
      <c r="B91" s="41" t="str">
        <f>IF('Indice Plan'!$D89 = "", "", 'Indice Plan'!$D89)</f>
        <v/>
      </c>
      <c r="C91" s="44" t="str">
        <f t="shared" si="2"/>
        <v/>
      </c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5"/>
      <c r="AI91" s="45"/>
      <c r="AJ91" s="45"/>
      <c r="AK91" s="45"/>
      <c r="AL91" s="45"/>
      <c r="AM91" s="45"/>
      <c r="AN91" s="45"/>
      <c r="AO91" s="45"/>
      <c r="AP91" s="45"/>
      <c r="AQ91" s="45"/>
      <c r="AR91" s="45"/>
      <c r="AS91" s="45"/>
      <c r="AT91" s="45"/>
      <c r="AU91" s="45"/>
      <c r="AV91" s="45"/>
      <c r="AW91" s="45"/>
      <c r="AX91" s="45"/>
      <c r="AY91" s="45"/>
      <c r="AZ91" s="45"/>
    </row>
    <row r="92" spans="2:52" x14ac:dyDescent="0.25">
      <c r="B92" s="41" t="str">
        <f>IF('Indice Plan'!$D90 = "", "", 'Indice Plan'!$D90)</f>
        <v/>
      </c>
      <c r="C92" s="44" t="str">
        <f t="shared" si="2"/>
        <v/>
      </c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5"/>
      <c r="AI92" s="45"/>
      <c r="AJ92" s="45"/>
      <c r="AK92" s="45"/>
      <c r="AL92" s="45"/>
      <c r="AM92" s="45"/>
      <c r="AN92" s="45"/>
      <c r="AO92" s="45"/>
      <c r="AP92" s="45"/>
      <c r="AQ92" s="45"/>
      <c r="AR92" s="45"/>
      <c r="AS92" s="45"/>
      <c r="AT92" s="45"/>
      <c r="AU92" s="45"/>
      <c r="AV92" s="45"/>
      <c r="AW92" s="45"/>
      <c r="AX92" s="45"/>
      <c r="AY92" s="45"/>
      <c r="AZ92" s="45"/>
    </row>
    <row r="93" spans="2:52" x14ac:dyDescent="0.25">
      <c r="B93" s="41" t="str">
        <f>IF('Indice Plan'!$D91 = "", "", 'Indice Plan'!$D91)</f>
        <v/>
      </c>
      <c r="C93" s="44" t="str">
        <f t="shared" si="2"/>
        <v/>
      </c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  <c r="AL93" s="45"/>
      <c r="AM93" s="45"/>
      <c r="AN93" s="45"/>
      <c r="AO93" s="45"/>
      <c r="AP93" s="45"/>
      <c r="AQ93" s="45"/>
      <c r="AR93" s="45"/>
      <c r="AS93" s="45"/>
      <c r="AT93" s="45"/>
      <c r="AU93" s="45"/>
      <c r="AV93" s="45"/>
      <c r="AW93" s="45"/>
      <c r="AX93" s="45"/>
      <c r="AY93" s="45"/>
      <c r="AZ93" s="45"/>
    </row>
    <row r="94" spans="2:52" x14ac:dyDescent="0.25">
      <c r="B94" s="41" t="str">
        <f>IF('Indice Plan'!$D92 = "", "", 'Indice Plan'!$D92)</f>
        <v/>
      </c>
      <c r="C94" s="44" t="str">
        <f t="shared" si="2"/>
        <v/>
      </c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5"/>
      <c r="AI94" s="45"/>
      <c r="AJ94" s="45"/>
      <c r="AK94" s="45"/>
      <c r="AL94" s="45"/>
      <c r="AM94" s="45"/>
      <c r="AN94" s="45"/>
      <c r="AO94" s="45"/>
      <c r="AP94" s="45"/>
      <c r="AQ94" s="45"/>
      <c r="AR94" s="45"/>
      <c r="AS94" s="45"/>
      <c r="AT94" s="45"/>
      <c r="AU94" s="45"/>
      <c r="AV94" s="45"/>
      <c r="AW94" s="45"/>
      <c r="AX94" s="45"/>
      <c r="AY94" s="45"/>
      <c r="AZ94" s="45"/>
    </row>
    <row r="95" spans="2:52" x14ac:dyDescent="0.25">
      <c r="B95" s="41" t="str">
        <f>IF('Indice Plan'!$D93 = "", "", 'Indice Plan'!$D93)</f>
        <v/>
      </c>
      <c r="C95" s="44" t="str">
        <f t="shared" si="2"/>
        <v/>
      </c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45"/>
      <c r="AJ95" s="45"/>
      <c r="AK95" s="45"/>
      <c r="AL95" s="45"/>
      <c r="AM95" s="45"/>
      <c r="AN95" s="45"/>
      <c r="AO95" s="45"/>
      <c r="AP95" s="45"/>
      <c r="AQ95" s="45"/>
      <c r="AR95" s="45"/>
      <c r="AS95" s="45"/>
      <c r="AT95" s="45"/>
      <c r="AU95" s="45"/>
      <c r="AV95" s="45"/>
      <c r="AW95" s="45"/>
      <c r="AX95" s="45"/>
      <c r="AY95" s="45"/>
      <c r="AZ95" s="45"/>
    </row>
    <row r="96" spans="2:52" x14ac:dyDescent="0.25">
      <c r="B96" s="41" t="str">
        <f>IF('Indice Plan'!$D94 = "", "", 'Indice Plan'!$D94)</f>
        <v/>
      </c>
      <c r="C96" s="44" t="str">
        <f t="shared" si="2"/>
        <v/>
      </c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45"/>
      <c r="AJ96" s="45"/>
      <c r="AK96" s="45"/>
      <c r="AL96" s="45"/>
      <c r="AM96" s="45"/>
      <c r="AN96" s="45"/>
      <c r="AO96" s="45"/>
      <c r="AP96" s="45"/>
      <c r="AQ96" s="45"/>
      <c r="AR96" s="45"/>
      <c r="AS96" s="45"/>
      <c r="AT96" s="45"/>
      <c r="AU96" s="45"/>
      <c r="AV96" s="45"/>
      <c r="AW96" s="45"/>
      <c r="AX96" s="45"/>
      <c r="AY96" s="45"/>
      <c r="AZ96" s="45"/>
    </row>
    <row r="97" spans="2:52" x14ac:dyDescent="0.25">
      <c r="B97" s="41" t="str">
        <f>IF('Indice Plan'!$D95 = "", "", 'Indice Plan'!$D95)</f>
        <v/>
      </c>
      <c r="C97" s="44" t="str">
        <f t="shared" si="2"/>
        <v/>
      </c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45"/>
      <c r="AJ97" s="45"/>
      <c r="AK97" s="45"/>
      <c r="AL97" s="45"/>
      <c r="AM97" s="45"/>
      <c r="AN97" s="45"/>
      <c r="AO97" s="45"/>
      <c r="AP97" s="45"/>
      <c r="AQ97" s="45"/>
      <c r="AR97" s="45"/>
      <c r="AS97" s="45"/>
      <c r="AT97" s="45"/>
      <c r="AU97" s="45"/>
      <c r="AV97" s="45"/>
      <c r="AW97" s="45"/>
      <c r="AX97" s="45"/>
      <c r="AY97" s="45"/>
      <c r="AZ97" s="45"/>
    </row>
    <row r="98" spans="2:52" x14ac:dyDescent="0.25">
      <c r="B98" s="41" t="str">
        <f>IF('Indice Plan'!$D96 = "", "", 'Indice Plan'!$D96)</f>
        <v/>
      </c>
      <c r="C98" s="44" t="str">
        <f t="shared" si="2"/>
        <v/>
      </c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5"/>
      <c r="AI98" s="45"/>
      <c r="AJ98" s="45"/>
      <c r="AK98" s="45"/>
      <c r="AL98" s="45"/>
      <c r="AM98" s="45"/>
      <c r="AN98" s="45"/>
      <c r="AO98" s="45"/>
      <c r="AP98" s="45"/>
      <c r="AQ98" s="45"/>
      <c r="AR98" s="45"/>
      <c r="AS98" s="45"/>
      <c r="AT98" s="45"/>
      <c r="AU98" s="45"/>
      <c r="AV98" s="45"/>
      <c r="AW98" s="45"/>
      <c r="AX98" s="45"/>
      <c r="AY98" s="45"/>
      <c r="AZ98" s="45"/>
    </row>
    <row r="99" spans="2:52" x14ac:dyDescent="0.25">
      <c r="B99" s="41" t="str">
        <f>IF('Indice Plan'!$D97 = "", "", 'Indice Plan'!$D97)</f>
        <v/>
      </c>
      <c r="C99" s="44" t="str">
        <f t="shared" si="2"/>
        <v/>
      </c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</row>
    <row r="100" spans="2:52" x14ac:dyDescent="0.25">
      <c r="B100" s="41" t="str">
        <f>IF('Indice Plan'!$D98 = "", "", 'Indice Plan'!$D98)</f>
        <v/>
      </c>
      <c r="C100" s="44" t="str">
        <f t="shared" si="2"/>
        <v/>
      </c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5"/>
      <c r="AI100" s="45"/>
      <c r="AJ100" s="45"/>
      <c r="AK100" s="45"/>
      <c r="AL100" s="45"/>
      <c r="AM100" s="45"/>
      <c r="AN100" s="45"/>
      <c r="AO100" s="45"/>
      <c r="AP100" s="45"/>
      <c r="AQ100" s="45"/>
      <c r="AR100" s="45"/>
      <c r="AS100" s="45"/>
      <c r="AT100" s="45"/>
      <c r="AU100" s="45"/>
      <c r="AV100" s="45"/>
      <c r="AW100" s="45"/>
      <c r="AX100" s="45"/>
      <c r="AY100" s="45"/>
      <c r="AZ100" s="45"/>
    </row>
  </sheetData>
  <mergeCells count="2">
    <mergeCell ref="D4:AZ4"/>
    <mergeCell ref="B1:D2"/>
  </mergeCells>
  <conditionalFormatting sqref="D5:AZ100">
    <cfRule type="containsBlanks" dxfId="6" priority="2">
      <formula>LEN(TRIM(D5))=0</formula>
    </cfRule>
  </conditionalFormatting>
  <conditionalFormatting sqref="B5:C100">
    <cfRule type="containsBlanks" dxfId="5" priority="1">
      <formula>LEN(TRIM(B5))=0</formula>
    </cfRule>
  </conditionalFormatting>
  <dataValidations count="2">
    <dataValidation type="list" allowBlank="1" showInputMessage="1" showErrorMessage="1" sqref="BA5:DZ100" xr:uid="{B0E1637A-211D-4E66-88AE-B3544F0CCA0E}">
      <formula1>List_Toiture</formula1>
    </dataValidation>
    <dataValidation type="list" allowBlank="1" showInputMessage="1" showErrorMessage="1" sqref="D5:AZ100" xr:uid="{80376C5B-9192-4BAB-99EB-1B0A9013B408}">
      <formula1>List_Ombrière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34A58-2E6A-4D69-98C2-E53467EB9694}">
  <sheetPr codeName="Feuil6"/>
  <dimension ref="B1:AZ100"/>
  <sheetViews>
    <sheetView showGridLines="0" zoomScale="70" zoomScaleNormal="7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G3" sqref="G3"/>
    </sheetView>
  </sheetViews>
  <sheetFormatPr baseColWidth="10" defaultColWidth="35.7109375" defaultRowHeight="15" x14ac:dyDescent="0.25"/>
  <cols>
    <col min="1" max="1" width="2.85546875" style="2" customWidth="1"/>
    <col min="2" max="2" width="8.5703125" style="2" customWidth="1"/>
    <col min="3" max="3" width="142.85546875" style="3" customWidth="1"/>
    <col min="4" max="16384" width="35.7109375" style="2"/>
  </cols>
  <sheetData>
    <row r="1" spans="2:52" ht="22.5" customHeight="1" x14ac:dyDescent="0.25">
      <c r="B1" s="90" t="s">
        <v>200</v>
      </c>
      <c r="C1" s="91"/>
      <c r="D1" s="92"/>
      <c r="E1" s="62" t="s">
        <v>307</v>
      </c>
      <c r="F1" s="62" t="s">
        <v>310</v>
      </c>
      <c r="G1" s="62" t="s">
        <v>309</v>
      </c>
    </row>
    <row r="2" spans="2:52" ht="22.5" customHeight="1" x14ac:dyDescent="0.25">
      <c r="B2" s="93"/>
      <c r="C2" s="94"/>
      <c r="D2" s="95"/>
      <c r="E2" s="63" t="s">
        <v>311</v>
      </c>
      <c r="F2" s="64">
        <v>43656</v>
      </c>
      <c r="G2" s="63" t="s">
        <v>433</v>
      </c>
    </row>
    <row r="4" spans="2:52" s="36" customFormat="1" ht="30" customHeight="1" x14ac:dyDescent="0.25">
      <c r="B4" s="65" t="s">
        <v>194</v>
      </c>
      <c r="C4" s="65" t="s">
        <v>195</v>
      </c>
      <c r="D4" s="89" t="s">
        <v>196</v>
      </c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</row>
    <row r="5" spans="2:52" x14ac:dyDescent="0.25">
      <c r="B5" s="40" t="str">
        <f>IF('Indice Plan'!$H3 = "", "", 'Indice Plan'!$H3)</f>
        <v>0010</v>
      </c>
      <c r="C5" s="39" t="str">
        <f t="shared" ref="C5:C36" si="0">IF($B5 = "", "", VLOOKUP($B5,Ind_Serre,2))</f>
        <v>PLAN DE MASSE / SITUATION DU SITE / VUE AERIENNE</v>
      </c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</row>
    <row r="6" spans="2:52" x14ac:dyDescent="0.25">
      <c r="B6" s="41" t="str">
        <f>IF('Indice Plan'!$H4 = "", "", 'Indice Plan'!$H4)</f>
        <v>0020</v>
      </c>
      <c r="C6" s="44" t="str">
        <f t="shared" si="0"/>
        <v>PARCELLES CADASTRALES</v>
      </c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</row>
    <row r="7" spans="2:52" x14ac:dyDescent="0.25">
      <c r="B7" s="41" t="str">
        <f>IF('Indice Plan'!$H5 = "", "", 'Indice Plan'!$H5)</f>
        <v>0030</v>
      </c>
      <c r="C7" s="44" t="str">
        <f t="shared" si="0"/>
        <v>TOPOGRAPHIE - RELEVE TOITURE</v>
      </c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</row>
    <row r="8" spans="2:52" x14ac:dyDescent="0.25">
      <c r="B8" s="41" t="str">
        <f>IF('Indice Plan'!$H6 = "", "", 'Indice Plan'!$H6)</f>
        <v>0040</v>
      </c>
      <c r="C8" s="44" t="str">
        <f t="shared" si="0"/>
        <v>RESEAUX ET VRD</v>
      </c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</row>
    <row r="9" spans="2:52" x14ac:dyDescent="0.25">
      <c r="B9" s="41" t="str">
        <f>IF('Indice Plan'!$H7 = "", "", 'Indice Plan'!$H7)</f>
        <v>1010</v>
      </c>
      <c r="C9" s="44" t="str">
        <f t="shared" si="0"/>
        <v>ENJEUX ADMINISTRATIFS ET ENVIRONNEMENTAUX - [ACCES ET DISPOSITIFS POUR SECURITE INCENDIE] / [DGAC - ANALYSE DE LA GENE VISUELLE]</v>
      </c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  <c r="AZ9" s="45"/>
    </row>
    <row r="10" spans="2:52" x14ac:dyDescent="0.25">
      <c r="B10" s="41" t="str">
        <f>IF('Indice Plan'!$H8 = "", "", 'Indice Plan'!$H8)</f>
        <v>1020</v>
      </c>
      <c r="C10" s="44" t="str">
        <f t="shared" si="0"/>
        <v>IMPLANTATION GENERALE DU GENERATEUR PV</v>
      </c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</row>
    <row r="11" spans="2:52" x14ac:dyDescent="0.25">
      <c r="B11" s="41" t="str">
        <f>IF('Indice Plan'!$H9 = "", "", 'Indice Plan'!$H9)</f>
        <v>1030</v>
      </c>
      <c r="C11" s="44" t="str">
        <f t="shared" si="0"/>
        <v>CALEPINAGE DES MODULES PV</v>
      </c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</row>
    <row r="12" spans="2:52" x14ac:dyDescent="0.25">
      <c r="B12" s="41" t="str">
        <f>IF('Indice Plan'!$H10 = "", "", 'Indice Plan'!$H10)</f>
        <v>1040</v>
      </c>
      <c r="C12" s="44" t="str">
        <f t="shared" si="0"/>
        <v>GESTION DES OMBRAGES</v>
      </c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</row>
    <row r="13" spans="2:52" x14ac:dyDescent="0.25">
      <c r="B13" s="41" t="str">
        <f>IF('Indice Plan'!$H11 = "", "", 'Indice Plan'!$H11)</f>
        <v>1050</v>
      </c>
      <c r="C13" s="44" t="str">
        <f t="shared" si="0"/>
        <v>REPARTITION DES CHAMPS PV</v>
      </c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</row>
    <row r="14" spans="2:52" x14ac:dyDescent="0.25">
      <c r="B14" s="41" t="str">
        <f>IF('Indice Plan'!$H12 = "", "", 'Indice Plan'!$H12)</f>
        <v>1060</v>
      </c>
      <c r="C14" s="44" t="str">
        <f t="shared" si="0"/>
        <v>IMPLANTATION STATION METEO</v>
      </c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</row>
    <row r="15" spans="2:52" x14ac:dyDescent="0.25">
      <c r="B15" s="41" t="str">
        <f>IF('Indice Plan'!$H13 = "", "", 'Indice Plan'!$H13)</f>
        <v>1070</v>
      </c>
      <c r="C15" s="44" t="str">
        <f t="shared" si="0"/>
        <v xml:space="preserve">IMPLANTATION DU PROCEDE PV </v>
      </c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</row>
    <row r="16" spans="2:52" x14ac:dyDescent="0.25">
      <c r="B16" s="41" t="str">
        <f>IF('Indice Plan'!$H14 = "", "", 'Indice Plan'!$H14)</f>
        <v>1100</v>
      </c>
      <c r="C16" s="44" t="str">
        <f t="shared" si="0"/>
        <v>COUPE SUR CHAMPS PV</v>
      </c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  <c r="AY16" s="45"/>
      <c r="AZ16" s="45"/>
    </row>
    <row r="17" spans="2:52" x14ac:dyDescent="0.25">
      <c r="B17" s="41" t="str">
        <f>IF('Indice Plan'!$H15 = "", "", 'Indice Plan'!$H15)</f>
        <v>1120</v>
      </c>
      <c r="C17" s="44" t="str">
        <f t="shared" si="0"/>
        <v>IMPLANTATION DES FONDATIONS ET DES POTEAUX - PRINCIPE ET TOLERANCES DE MISE EN ŒUVRE</v>
      </c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</row>
    <row r="18" spans="2:52" x14ac:dyDescent="0.25">
      <c r="B18" s="41" t="str">
        <f>IF('Indice Plan'!$H16 = "", "", 'Indice Plan'!$H16)</f>
        <v>2010</v>
      </c>
      <c r="C18" s="44" t="str">
        <f t="shared" si="0"/>
        <v>SCHEMA UNIFILAIRE GENERAL</v>
      </c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45"/>
      <c r="AZ18" s="45"/>
    </row>
    <row r="19" spans="2:52" x14ac:dyDescent="0.25">
      <c r="B19" s="41" t="str">
        <f>IF('Indice Plan'!$H17 = "", "", 'Indice Plan'!$H17)</f>
        <v>2020</v>
      </c>
      <c r="C19" s="44" t="str">
        <f t="shared" si="0"/>
        <v>SCHEMA UNIFILAIRE HTA</v>
      </c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5"/>
      <c r="AZ19" s="45"/>
    </row>
    <row r="20" spans="2:52" x14ac:dyDescent="0.25">
      <c r="B20" s="41" t="str">
        <f>IF('Indice Plan'!$H18 = "", "", 'Indice Plan'!$H18)</f>
        <v>2030</v>
      </c>
      <c r="C20" s="44" t="str">
        <f t="shared" si="0"/>
        <v>SCHEMA UNIFILAIRE  DES AUXILIAIRES</v>
      </c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5"/>
    </row>
    <row r="21" spans="2:52" x14ac:dyDescent="0.25">
      <c r="B21" s="41" t="str">
        <f>IF('Indice Plan'!$H19 = "", "", 'Indice Plan'!$H19)</f>
        <v>2040</v>
      </c>
      <c r="C21" s="44" t="str">
        <f t="shared" si="0"/>
        <v>SCHEMA UNIFILAIRE  DE COMMUNICATION - VUE D'ENSEMBLE DU RESEAU</v>
      </c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  <c r="AZ21" s="45"/>
    </row>
    <row r="22" spans="2:52" x14ac:dyDescent="0.25">
      <c r="B22" s="41" t="str">
        <f>IF('Indice Plan'!$H20 = "", "", 'Indice Plan'!$H20)</f>
        <v>2050</v>
      </c>
      <c r="C22" s="44" t="str">
        <f t="shared" si="0"/>
        <v>SCHEMA UNIFILAIRE  DE COMMUNICATION - STATION METEO</v>
      </c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</row>
    <row r="23" spans="2:52" x14ac:dyDescent="0.25">
      <c r="B23" s="41" t="str">
        <f>IF('Indice Plan'!$H21 = "", "", 'Indice Plan'!$H21)</f>
        <v>2060</v>
      </c>
      <c r="C23" s="44" t="str">
        <f t="shared" si="0"/>
        <v>SCHEMA UNIFILAIRE  DE COMMUNICATION - RESEAU FIBRE OPTIQUE</v>
      </c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5"/>
    </row>
    <row r="24" spans="2:52" x14ac:dyDescent="0.25">
      <c r="B24" s="41" t="str">
        <f>IF('Indice Plan'!$H22 = "", "", 'Indice Plan'!$H22)</f>
        <v>3010</v>
      </c>
      <c r="C24" s="44" t="str">
        <f t="shared" si="0"/>
        <v>CABLAGE GENERAL CFo</v>
      </c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</row>
    <row r="25" spans="2:52" x14ac:dyDescent="0.25">
      <c r="B25" s="41" t="str">
        <f>IF('Indice Plan'!$H23 = "", "", 'Indice Plan'!$H23)</f>
        <v>3020</v>
      </c>
      <c r="C25" s="44" t="str">
        <f t="shared" si="0"/>
        <v>CABLAGE GENERAL CFa</v>
      </c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  <c r="AZ25" s="45"/>
    </row>
    <row r="26" spans="2:52" x14ac:dyDescent="0.25">
      <c r="B26" s="41" t="str">
        <f>IF('Indice Plan'!$H24 = "", "", 'Indice Plan'!$H24)</f>
        <v>3030</v>
      </c>
      <c r="C26" s="44" t="str">
        <f t="shared" si="0"/>
        <v>CABLAGE CC DES CHAINES PV ENTRE MODULES</v>
      </c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45"/>
      <c r="AY26" s="45"/>
      <c r="AZ26" s="45"/>
    </row>
    <row r="27" spans="2:52" x14ac:dyDescent="0.25">
      <c r="B27" s="41" t="str">
        <f>IF('Indice Plan'!$H25 = "", "", 'Indice Plan'!$H25)</f>
        <v>3040</v>
      </c>
      <c r="C27" s="44" t="str">
        <f t="shared" si="0"/>
        <v>CABLAGE CC DES CHAINES PV AUX BJ</v>
      </c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5"/>
      <c r="AI27" s="45"/>
      <c r="AJ27" s="45"/>
      <c r="AK27" s="45"/>
      <c r="AL27" s="45"/>
      <c r="AM27" s="45"/>
      <c r="AN27" s="45"/>
      <c r="AO27" s="45"/>
      <c r="AP27" s="45"/>
      <c r="AQ27" s="45"/>
      <c r="AR27" s="45"/>
      <c r="AS27" s="45"/>
      <c r="AT27" s="45"/>
      <c r="AU27" s="45"/>
      <c r="AV27" s="45"/>
      <c r="AW27" s="45"/>
      <c r="AX27" s="45"/>
      <c r="AY27" s="45"/>
      <c r="AZ27" s="45"/>
    </row>
    <row r="28" spans="2:52" x14ac:dyDescent="0.25">
      <c r="B28" s="41" t="str">
        <f>IF('Indice Plan'!$H26 = "", "", 'Indice Plan'!$H26)</f>
        <v>3050</v>
      </c>
      <c r="C28" s="44" t="str">
        <f t="shared" si="0"/>
        <v xml:space="preserve">RACCORDEMENT AU RESEAU PUBLIC DE DISTRIBUTION - DETAIL DU POINT DE LIVRAISON </v>
      </c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5"/>
      <c r="AI28" s="45"/>
      <c r="AJ28" s="45"/>
      <c r="AK28" s="45"/>
      <c r="AL28" s="45"/>
      <c r="AM28" s="45"/>
      <c r="AN28" s="45"/>
      <c r="AO28" s="45"/>
      <c r="AP28" s="45"/>
      <c r="AQ28" s="45"/>
      <c r="AR28" s="45"/>
      <c r="AS28" s="45"/>
      <c r="AT28" s="45"/>
      <c r="AU28" s="45"/>
      <c r="AV28" s="45"/>
      <c r="AW28" s="45"/>
      <c r="AX28" s="45"/>
      <c r="AY28" s="45"/>
      <c r="AZ28" s="45"/>
    </row>
    <row r="29" spans="2:52" x14ac:dyDescent="0.25">
      <c r="B29" s="41" t="str">
        <f>IF('Indice Plan'!$H27 = "", "", 'Indice Plan'!$H27)</f>
        <v>3055</v>
      </c>
      <c r="C29" s="44" t="str">
        <f t="shared" si="0"/>
        <v>RACCORDEMENT AU RESEAU PUBLIC DE DISTRIBUTION - TRACE ERDF EN VOIRIE PUBLIQUE</v>
      </c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5"/>
      <c r="AN29" s="45"/>
      <c r="AO29" s="45"/>
      <c r="AP29" s="45"/>
      <c r="AQ29" s="45"/>
      <c r="AR29" s="45"/>
      <c r="AS29" s="45"/>
      <c r="AT29" s="45"/>
      <c r="AU29" s="45"/>
      <c r="AV29" s="45"/>
      <c r="AW29" s="45"/>
      <c r="AX29" s="45"/>
      <c r="AY29" s="45"/>
      <c r="AZ29" s="45"/>
    </row>
    <row r="30" spans="2:52" x14ac:dyDescent="0.25">
      <c r="B30" s="41" t="str">
        <f>IF('Indice Plan'!$H28 = "", "", 'Indice Plan'!$H28)</f>
        <v>3060</v>
      </c>
      <c r="C30" s="44" t="str">
        <f t="shared" si="0"/>
        <v>LIAISONS EQUIPOTENTIELLES</v>
      </c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  <c r="AI30" s="45"/>
      <c r="AJ30" s="45"/>
      <c r="AK30" s="45"/>
      <c r="AL30" s="45"/>
      <c r="AM30" s="45"/>
      <c r="AN30" s="45"/>
      <c r="AO30" s="45"/>
      <c r="AP30" s="45"/>
      <c r="AQ30" s="45"/>
      <c r="AR30" s="45"/>
      <c r="AS30" s="45"/>
      <c r="AT30" s="45"/>
      <c r="AU30" s="45"/>
      <c r="AV30" s="45"/>
      <c r="AW30" s="45"/>
      <c r="AX30" s="45"/>
      <c r="AY30" s="45"/>
      <c r="AZ30" s="45"/>
    </row>
    <row r="31" spans="2:52" x14ac:dyDescent="0.25">
      <c r="B31" s="41" t="str">
        <f>IF('Indice Plan'!$H29 = "", "", 'Indice Plan'!$H29)</f>
        <v>3100</v>
      </c>
      <c r="C31" s="44" t="str">
        <f t="shared" si="0"/>
        <v>CIRCULATION DES CABLES AERIENS &amp; ENTERRES</v>
      </c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5"/>
      <c r="AN31" s="45"/>
      <c r="AO31" s="45"/>
      <c r="AP31" s="45"/>
      <c r="AQ31" s="45"/>
      <c r="AR31" s="45"/>
      <c r="AS31" s="45"/>
      <c r="AT31" s="45"/>
      <c r="AU31" s="45"/>
      <c r="AV31" s="45"/>
      <c r="AW31" s="45"/>
      <c r="AX31" s="45"/>
      <c r="AY31" s="45"/>
      <c r="AZ31" s="45"/>
    </row>
    <row r="32" spans="2:52" x14ac:dyDescent="0.25">
      <c r="B32" s="41" t="str">
        <f>IF('Indice Plan'!$H30 = "", "", 'Indice Plan'!$H30)</f>
        <v>3110</v>
      </c>
      <c r="C32" s="44" t="str">
        <f t="shared" si="0"/>
        <v>CIRCULATION DES CABLES AERIENS &amp; ENTERRES</v>
      </c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5"/>
      <c r="AN32" s="45"/>
      <c r="AO32" s="45"/>
      <c r="AP32" s="45"/>
      <c r="AQ32" s="45"/>
      <c r="AR32" s="45"/>
      <c r="AS32" s="45"/>
      <c r="AT32" s="45"/>
      <c r="AU32" s="45"/>
      <c r="AV32" s="45"/>
      <c r="AW32" s="45"/>
      <c r="AX32" s="45"/>
      <c r="AY32" s="45"/>
      <c r="AZ32" s="45"/>
    </row>
    <row r="33" spans="2:52" x14ac:dyDescent="0.25">
      <c r="B33" s="41" t="str">
        <f>IF('Indice Plan'!$H31 = "", "", 'Indice Plan'!$H31)</f>
        <v>4010</v>
      </c>
      <c r="C33" s="44" t="str">
        <f t="shared" si="0"/>
        <v>STRUCTURE POUR EQUIPEMENTS ELECTRIQUES</v>
      </c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5"/>
      <c r="AN33" s="45"/>
      <c r="AO33" s="45"/>
      <c r="AP33" s="45"/>
      <c r="AQ33" s="45"/>
      <c r="AR33" s="45"/>
      <c r="AS33" s="45"/>
      <c r="AT33" s="45"/>
      <c r="AU33" s="45"/>
      <c r="AV33" s="45"/>
      <c r="AW33" s="45"/>
      <c r="AX33" s="45"/>
      <c r="AY33" s="45"/>
      <c r="AZ33" s="45"/>
    </row>
    <row r="34" spans="2:52" x14ac:dyDescent="0.25">
      <c r="B34" s="41" t="str">
        <f>IF('Indice Plan'!$H32 = "", "", 'Indice Plan'!$H32)</f>
        <v>4020</v>
      </c>
      <c r="C34" s="44" t="str">
        <f t="shared" si="0"/>
        <v>POSTE DE CONVERSION</v>
      </c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5"/>
      <c r="AI34" s="45"/>
      <c r="AJ34" s="45"/>
      <c r="AK34" s="45"/>
      <c r="AL34" s="45"/>
      <c r="AM34" s="45"/>
      <c r="AN34" s="45"/>
      <c r="AO34" s="45"/>
      <c r="AP34" s="45"/>
      <c r="AQ34" s="45"/>
      <c r="AR34" s="45"/>
      <c r="AS34" s="45"/>
      <c r="AT34" s="45"/>
      <c r="AU34" s="45"/>
      <c r="AV34" s="45"/>
      <c r="AW34" s="45"/>
      <c r="AX34" s="45"/>
      <c r="AY34" s="45"/>
      <c r="AZ34" s="45"/>
    </row>
    <row r="35" spans="2:52" x14ac:dyDescent="0.25">
      <c r="B35" s="41" t="str">
        <f>IF('Indice Plan'!$H33 = "", "", 'Indice Plan'!$H33)</f>
        <v>4030</v>
      </c>
      <c r="C35" s="44" t="str">
        <f t="shared" si="0"/>
        <v>POSTE DE LIVRAISON</v>
      </c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5"/>
      <c r="AI35" s="45"/>
      <c r="AJ35" s="45"/>
      <c r="AK35" s="45"/>
      <c r="AL35" s="45"/>
      <c r="AM35" s="45"/>
      <c r="AN35" s="45"/>
      <c r="AO35" s="45"/>
      <c r="AP35" s="45"/>
      <c r="AQ35" s="45"/>
      <c r="AR35" s="45"/>
      <c r="AS35" s="45"/>
      <c r="AT35" s="45"/>
      <c r="AU35" s="45"/>
      <c r="AV35" s="45"/>
      <c r="AW35" s="45"/>
      <c r="AX35" s="45"/>
      <c r="AY35" s="45"/>
      <c r="AZ35" s="45"/>
    </row>
    <row r="36" spans="2:52" x14ac:dyDescent="0.25">
      <c r="B36" s="41" t="str">
        <f>IF('Indice Plan'!$H34 = "", "", 'Indice Plan'!$H34)</f>
        <v>5010</v>
      </c>
      <c r="C36" s="44" t="str">
        <f t="shared" si="0"/>
        <v>AMENAGEMENTS CHANTIER - BASE VIE &amp;  ZONES DE STOCKAGE</v>
      </c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5"/>
      <c r="AI36" s="45"/>
      <c r="AJ36" s="45"/>
      <c r="AK36" s="45"/>
      <c r="AL36" s="45"/>
      <c r="AM36" s="45"/>
      <c r="AN36" s="45"/>
      <c r="AO36" s="45"/>
      <c r="AP36" s="45"/>
      <c r="AQ36" s="45"/>
      <c r="AR36" s="45"/>
      <c r="AS36" s="45"/>
      <c r="AT36" s="45"/>
      <c r="AU36" s="45"/>
      <c r="AV36" s="45"/>
      <c r="AW36" s="45"/>
      <c r="AX36" s="45"/>
      <c r="AY36" s="45"/>
      <c r="AZ36" s="45"/>
    </row>
    <row r="37" spans="2:52" x14ac:dyDescent="0.25">
      <c r="B37" s="41" t="str">
        <f>IF('Indice Plan'!$H35 = "", "", 'Indice Plan'!$H35)</f>
        <v>5030</v>
      </c>
      <c r="C37" s="44" t="str">
        <f t="shared" ref="C37:C68" si="1">IF($B37 = "", "", VLOOKUP($B37,Ind_Serre,2))</f>
        <v>AMENAGEMENTS CHANTIER - CIRCULATION DES ENGINS ET LEVAGE DES POSTES</v>
      </c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  <c r="AI37" s="45"/>
      <c r="AJ37" s="45"/>
      <c r="AK37" s="45"/>
      <c r="AL37" s="45"/>
      <c r="AM37" s="45"/>
      <c r="AN37" s="45"/>
      <c r="AO37" s="45"/>
      <c r="AP37" s="45"/>
      <c r="AQ37" s="45"/>
      <c r="AR37" s="45"/>
      <c r="AS37" s="45"/>
      <c r="AT37" s="45"/>
      <c r="AU37" s="45"/>
      <c r="AV37" s="45"/>
      <c r="AW37" s="45"/>
      <c r="AX37" s="45"/>
      <c r="AY37" s="45"/>
      <c r="AZ37" s="45"/>
    </row>
    <row r="38" spans="2:52" x14ac:dyDescent="0.25">
      <c r="B38" s="41" t="str">
        <f>IF('Indice Plan'!$H36 = "", "", 'Indice Plan'!$H36)</f>
        <v>6010</v>
      </c>
      <c r="C38" s="44" t="str">
        <f t="shared" si="1"/>
        <v>PLATEFORMES PROJETEES - DEBLAIS &amp; REMBLAIS </v>
      </c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5"/>
      <c r="AN38" s="45"/>
      <c r="AO38" s="45"/>
      <c r="AP38" s="45"/>
      <c r="AQ38" s="45"/>
      <c r="AR38" s="45"/>
      <c r="AS38" s="45"/>
      <c r="AT38" s="45"/>
      <c r="AU38" s="45"/>
      <c r="AV38" s="45"/>
      <c r="AW38" s="45"/>
      <c r="AX38" s="45"/>
      <c r="AY38" s="45"/>
      <c r="AZ38" s="45"/>
    </row>
    <row r="39" spans="2:52" x14ac:dyDescent="0.25">
      <c r="B39" s="41" t="str">
        <f>IF('Indice Plan'!$H37 = "", "", 'Indice Plan'!$H37)</f>
        <v>6020</v>
      </c>
      <c r="C39" s="44" t="str">
        <f t="shared" si="1"/>
        <v xml:space="preserve">NIVELLEMENT ET PRINCIPE DE GESTION DES EAUX PLUVIALES </v>
      </c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5"/>
      <c r="AI39" s="45"/>
      <c r="AJ39" s="45"/>
      <c r="AK39" s="45"/>
      <c r="AL39" s="45"/>
      <c r="AM39" s="45"/>
      <c r="AN39" s="45"/>
      <c r="AO39" s="45"/>
      <c r="AP39" s="45"/>
      <c r="AQ39" s="45"/>
      <c r="AR39" s="45"/>
      <c r="AS39" s="45"/>
      <c r="AT39" s="45"/>
      <c r="AU39" s="45"/>
      <c r="AV39" s="45"/>
      <c r="AW39" s="45"/>
      <c r="AX39" s="45"/>
      <c r="AY39" s="45"/>
      <c r="AZ39" s="45"/>
    </row>
    <row r="40" spans="2:52" x14ac:dyDescent="0.25">
      <c r="B40" s="41" t="str">
        <f>IF('Indice Plan'!$H38 = "", "", 'Indice Plan'!$H38)</f>
        <v>6030</v>
      </c>
      <c r="C40" s="44" t="str">
        <f t="shared" si="1"/>
        <v>COUPE SUR TERRAIN PROJETE</v>
      </c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5"/>
      <c r="AI40" s="45"/>
      <c r="AJ40" s="45"/>
      <c r="AK40" s="45"/>
      <c r="AL40" s="45"/>
      <c r="AM40" s="45"/>
      <c r="AN40" s="45"/>
      <c r="AO40" s="45"/>
      <c r="AP40" s="45"/>
      <c r="AQ40" s="45"/>
      <c r="AR40" s="45"/>
      <c r="AS40" s="45"/>
      <c r="AT40" s="45"/>
      <c r="AU40" s="45"/>
      <c r="AV40" s="45"/>
      <c r="AW40" s="45"/>
      <c r="AX40" s="45"/>
      <c r="AY40" s="45"/>
      <c r="AZ40" s="45"/>
    </row>
    <row r="41" spans="2:52" x14ac:dyDescent="0.25">
      <c r="B41" s="41" t="str">
        <f>IF('Indice Plan'!$H39 = "", "", 'Indice Plan'!$H39)</f>
        <v>7010</v>
      </c>
      <c r="C41" s="44" t="str">
        <f t="shared" si="1"/>
        <v>PLAN DE MAITRISE FONCIERE</v>
      </c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5"/>
      <c r="AN41" s="45"/>
      <c r="AO41" s="45"/>
      <c r="AP41" s="45"/>
      <c r="AQ41" s="45"/>
      <c r="AR41" s="45"/>
      <c r="AS41" s="45"/>
      <c r="AT41" s="45"/>
      <c r="AU41" s="45"/>
      <c r="AV41" s="45"/>
      <c r="AW41" s="45"/>
      <c r="AX41" s="45"/>
      <c r="AY41" s="45"/>
      <c r="AZ41" s="45"/>
    </row>
    <row r="42" spans="2:52" x14ac:dyDescent="0.25">
      <c r="B42" s="41" t="str">
        <f>IF('Indice Plan'!$H40 = "", "", 'Indice Plan'!$H40)</f>
        <v>7020</v>
      </c>
      <c r="C42" s="44" t="str">
        <f t="shared" si="1"/>
        <v>PLAN DES SERVITUDES</v>
      </c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5"/>
      <c r="AI42" s="45"/>
      <c r="AJ42" s="45"/>
      <c r="AK42" s="45"/>
      <c r="AL42" s="45"/>
      <c r="AM42" s="45"/>
      <c r="AN42" s="45"/>
      <c r="AO42" s="45"/>
      <c r="AP42" s="45"/>
      <c r="AQ42" s="45"/>
      <c r="AR42" s="45"/>
      <c r="AS42" s="45"/>
      <c r="AT42" s="45"/>
      <c r="AU42" s="45"/>
      <c r="AV42" s="45"/>
      <c r="AW42" s="45"/>
      <c r="AX42" s="45"/>
      <c r="AY42" s="45"/>
      <c r="AZ42" s="45"/>
    </row>
    <row r="43" spans="2:52" x14ac:dyDescent="0.25">
      <c r="B43" s="41" t="str">
        <f>IF('Indice Plan'!$H41 = "", "", 'Indice Plan'!$H41)</f>
        <v>7030</v>
      </c>
      <c r="C43" s="44" t="str">
        <f t="shared" si="1"/>
        <v>IDENTIFICATION DES LOTS PRIS A BAIL</v>
      </c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5"/>
      <c r="AI43" s="45"/>
      <c r="AJ43" s="45"/>
      <c r="AK43" s="45"/>
      <c r="AL43" s="45"/>
      <c r="AM43" s="45"/>
      <c r="AN43" s="45"/>
      <c r="AO43" s="45"/>
      <c r="AP43" s="45"/>
      <c r="AQ43" s="45"/>
      <c r="AR43" s="45"/>
      <c r="AS43" s="45"/>
      <c r="AT43" s="45"/>
      <c r="AU43" s="45"/>
      <c r="AV43" s="45"/>
      <c r="AW43" s="45"/>
      <c r="AX43" s="45"/>
      <c r="AY43" s="45"/>
      <c r="AZ43" s="45"/>
    </row>
    <row r="44" spans="2:52" x14ac:dyDescent="0.25">
      <c r="B44" s="41" t="str">
        <f>IF('Indice Plan'!$H42 = "", "", 'Indice Plan'!$H42)</f>
        <v>7040</v>
      </c>
      <c r="C44" s="44" t="str">
        <f t="shared" si="1"/>
        <v>IDENTIFICATION DU LOT DE VOLUME</v>
      </c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  <c r="AP44" s="45"/>
      <c r="AQ44" s="45"/>
      <c r="AR44" s="45"/>
      <c r="AS44" s="45"/>
      <c r="AT44" s="45"/>
      <c r="AU44" s="45"/>
      <c r="AV44" s="45"/>
      <c r="AW44" s="45"/>
      <c r="AX44" s="45"/>
      <c r="AY44" s="45"/>
      <c r="AZ44" s="45"/>
    </row>
    <row r="45" spans="2:52" x14ac:dyDescent="0.25">
      <c r="B45" s="41" t="str">
        <f>IF('Indice Plan'!$H43 = "", "", 'Indice Plan'!$H43)</f>
        <v/>
      </c>
      <c r="C45" s="44" t="str">
        <f t="shared" si="1"/>
        <v/>
      </c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</row>
    <row r="46" spans="2:52" x14ac:dyDescent="0.25">
      <c r="B46" s="41" t="str">
        <f>IF('Indice Plan'!$H44 = "", "", 'Indice Plan'!$H44)</f>
        <v/>
      </c>
      <c r="C46" s="44" t="str">
        <f t="shared" si="1"/>
        <v/>
      </c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  <c r="AJ46" s="45"/>
      <c r="AK46" s="45"/>
      <c r="AL46" s="45"/>
      <c r="AM46" s="45"/>
      <c r="AN46" s="45"/>
      <c r="AO46" s="45"/>
      <c r="AP46" s="45"/>
      <c r="AQ46" s="45"/>
      <c r="AR46" s="45"/>
      <c r="AS46" s="45"/>
      <c r="AT46" s="45"/>
      <c r="AU46" s="45"/>
      <c r="AV46" s="45"/>
      <c r="AW46" s="45"/>
      <c r="AX46" s="45"/>
      <c r="AY46" s="45"/>
      <c r="AZ46" s="45"/>
    </row>
    <row r="47" spans="2:52" x14ac:dyDescent="0.25">
      <c r="B47" s="41" t="str">
        <f>IF('Indice Plan'!$H45 = "", "", 'Indice Plan'!$H45)</f>
        <v/>
      </c>
      <c r="C47" s="44" t="str">
        <f t="shared" si="1"/>
        <v/>
      </c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5"/>
      <c r="AI47" s="45"/>
      <c r="AJ47" s="45"/>
      <c r="AK47" s="45"/>
      <c r="AL47" s="45"/>
      <c r="AM47" s="45"/>
      <c r="AN47" s="45"/>
      <c r="AO47" s="45"/>
      <c r="AP47" s="45"/>
      <c r="AQ47" s="45"/>
      <c r="AR47" s="45"/>
      <c r="AS47" s="45"/>
      <c r="AT47" s="45"/>
      <c r="AU47" s="45"/>
      <c r="AV47" s="45"/>
      <c r="AW47" s="45"/>
      <c r="AX47" s="45"/>
      <c r="AY47" s="45"/>
      <c r="AZ47" s="45"/>
    </row>
    <row r="48" spans="2:52" x14ac:dyDescent="0.25">
      <c r="B48" s="41" t="str">
        <f>IF('Indice Plan'!$H46 = "", "", 'Indice Plan'!$H46)</f>
        <v/>
      </c>
      <c r="C48" s="44" t="str">
        <f t="shared" si="1"/>
        <v/>
      </c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5"/>
      <c r="AI48" s="45"/>
      <c r="AJ48" s="45"/>
      <c r="AK48" s="45"/>
      <c r="AL48" s="45"/>
      <c r="AM48" s="45"/>
      <c r="AN48" s="45"/>
      <c r="AO48" s="45"/>
      <c r="AP48" s="45"/>
      <c r="AQ48" s="45"/>
      <c r="AR48" s="45"/>
      <c r="AS48" s="45"/>
      <c r="AT48" s="45"/>
      <c r="AU48" s="45"/>
      <c r="AV48" s="45"/>
      <c r="AW48" s="45"/>
      <c r="AX48" s="45"/>
      <c r="AY48" s="45"/>
      <c r="AZ48" s="45"/>
    </row>
    <row r="49" spans="2:52" x14ac:dyDescent="0.25">
      <c r="B49" s="41" t="str">
        <f>IF('Indice Plan'!$H47 = "", "", 'Indice Plan'!$H47)</f>
        <v/>
      </c>
      <c r="C49" s="44" t="str">
        <f t="shared" si="1"/>
        <v/>
      </c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5"/>
      <c r="AI49" s="45"/>
      <c r="AJ49" s="45"/>
      <c r="AK49" s="45"/>
      <c r="AL49" s="45"/>
      <c r="AM49" s="45"/>
      <c r="AN49" s="45"/>
      <c r="AO49" s="45"/>
      <c r="AP49" s="45"/>
      <c r="AQ49" s="45"/>
      <c r="AR49" s="45"/>
      <c r="AS49" s="45"/>
      <c r="AT49" s="45"/>
      <c r="AU49" s="45"/>
      <c r="AV49" s="45"/>
      <c r="AW49" s="45"/>
      <c r="AX49" s="45"/>
      <c r="AY49" s="45"/>
      <c r="AZ49" s="45"/>
    </row>
    <row r="50" spans="2:52" x14ac:dyDescent="0.25">
      <c r="B50" s="41" t="str">
        <f>IF('Indice Plan'!$H48 = "", "", 'Indice Plan'!$H48)</f>
        <v/>
      </c>
      <c r="C50" s="44" t="str">
        <f t="shared" si="1"/>
        <v/>
      </c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5"/>
      <c r="AM50" s="45"/>
      <c r="AN50" s="45"/>
      <c r="AO50" s="45"/>
      <c r="AP50" s="45"/>
      <c r="AQ50" s="45"/>
      <c r="AR50" s="45"/>
      <c r="AS50" s="45"/>
      <c r="AT50" s="45"/>
      <c r="AU50" s="45"/>
      <c r="AV50" s="45"/>
      <c r="AW50" s="45"/>
      <c r="AX50" s="45"/>
      <c r="AY50" s="45"/>
      <c r="AZ50" s="45"/>
    </row>
    <row r="51" spans="2:52" x14ac:dyDescent="0.25">
      <c r="B51" s="41" t="str">
        <f>IF('Indice Plan'!$H49 = "", "", 'Indice Plan'!$H49)</f>
        <v/>
      </c>
      <c r="C51" s="44" t="str">
        <f t="shared" si="1"/>
        <v/>
      </c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5"/>
      <c r="AX51" s="45"/>
      <c r="AY51" s="45"/>
      <c r="AZ51" s="45"/>
    </row>
    <row r="52" spans="2:52" x14ac:dyDescent="0.25">
      <c r="B52" s="41" t="str">
        <f>IF('Indice Plan'!$H50 = "", "", 'Indice Plan'!$H50)</f>
        <v/>
      </c>
      <c r="C52" s="44" t="str">
        <f t="shared" si="1"/>
        <v/>
      </c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45"/>
      <c r="AW52" s="45"/>
      <c r="AX52" s="45"/>
      <c r="AY52" s="45"/>
      <c r="AZ52" s="45"/>
    </row>
    <row r="53" spans="2:52" x14ac:dyDescent="0.25">
      <c r="B53" s="41" t="str">
        <f>IF('Indice Plan'!$H51 = "", "", 'Indice Plan'!$H51)</f>
        <v/>
      </c>
      <c r="C53" s="44" t="str">
        <f t="shared" si="1"/>
        <v/>
      </c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5"/>
      <c r="AX53" s="45"/>
      <c r="AY53" s="45"/>
      <c r="AZ53" s="45"/>
    </row>
    <row r="54" spans="2:52" x14ac:dyDescent="0.25">
      <c r="B54" s="41" t="str">
        <f>IF('Indice Plan'!$H52 = "", "", 'Indice Plan'!$H52)</f>
        <v/>
      </c>
      <c r="C54" s="44" t="str">
        <f t="shared" si="1"/>
        <v/>
      </c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5"/>
      <c r="AN54" s="45"/>
      <c r="AO54" s="45"/>
      <c r="AP54" s="45"/>
      <c r="AQ54" s="45"/>
      <c r="AR54" s="45"/>
      <c r="AS54" s="45"/>
      <c r="AT54" s="45"/>
      <c r="AU54" s="45"/>
      <c r="AV54" s="45"/>
      <c r="AW54" s="45"/>
      <c r="AX54" s="45"/>
      <c r="AY54" s="45"/>
      <c r="AZ54" s="45"/>
    </row>
    <row r="55" spans="2:52" x14ac:dyDescent="0.25">
      <c r="B55" s="41" t="str">
        <f>IF('Indice Plan'!$H53 = "", "", 'Indice Plan'!$H53)</f>
        <v/>
      </c>
      <c r="C55" s="44" t="str">
        <f t="shared" si="1"/>
        <v/>
      </c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</row>
    <row r="56" spans="2:52" x14ac:dyDescent="0.25">
      <c r="B56" s="41" t="str">
        <f>IF('Indice Plan'!$H54 = "", "", 'Indice Plan'!$H54)</f>
        <v/>
      </c>
      <c r="C56" s="44" t="str">
        <f t="shared" si="1"/>
        <v/>
      </c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</row>
    <row r="57" spans="2:52" x14ac:dyDescent="0.25">
      <c r="B57" s="41" t="str">
        <f>IF('Indice Plan'!$H55 = "", "", 'Indice Plan'!$H55)</f>
        <v/>
      </c>
      <c r="C57" s="44" t="str">
        <f t="shared" si="1"/>
        <v/>
      </c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  <c r="AX57" s="45"/>
      <c r="AY57" s="45"/>
      <c r="AZ57" s="45"/>
    </row>
    <row r="58" spans="2:52" x14ac:dyDescent="0.25">
      <c r="B58" s="41" t="str">
        <f>IF('Indice Plan'!$H56 = "", "", 'Indice Plan'!$H56)</f>
        <v/>
      </c>
      <c r="C58" s="44" t="str">
        <f t="shared" si="1"/>
        <v/>
      </c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  <c r="AX58" s="45"/>
      <c r="AY58" s="45"/>
      <c r="AZ58" s="45"/>
    </row>
    <row r="59" spans="2:52" x14ac:dyDescent="0.25">
      <c r="B59" s="41" t="str">
        <f>IF('Indice Plan'!$H57 = "", "", 'Indice Plan'!$H57)</f>
        <v/>
      </c>
      <c r="C59" s="44" t="str">
        <f t="shared" si="1"/>
        <v/>
      </c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  <c r="AX59" s="45"/>
      <c r="AY59" s="45"/>
      <c r="AZ59" s="45"/>
    </row>
    <row r="60" spans="2:52" x14ac:dyDescent="0.25">
      <c r="B60" s="41" t="str">
        <f>IF('Indice Plan'!$H58 = "", "", 'Indice Plan'!$H58)</f>
        <v/>
      </c>
      <c r="C60" s="44" t="str">
        <f t="shared" si="1"/>
        <v/>
      </c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  <c r="AX60" s="45"/>
      <c r="AY60" s="45"/>
      <c r="AZ60" s="45"/>
    </row>
    <row r="61" spans="2:52" x14ac:dyDescent="0.25">
      <c r="B61" s="41" t="str">
        <f>IF('Indice Plan'!$H59 = "", "", 'Indice Plan'!$H59)</f>
        <v/>
      </c>
      <c r="C61" s="44" t="str">
        <f t="shared" si="1"/>
        <v/>
      </c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45"/>
      <c r="AZ61" s="45"/>
    </row>
    <row r="62" spans="2:52" x14ac:dyDescent="0.25">
      <c r="B62" s="41" t="str">
        <f>IF('Indice Plan'!$H60 = "", "", 'Indice Plan'!$H60)</f>
        <v/>
      </c>
      <c r="C62" s="44" t="str">
        <f t="shared" si="1"/>
        <v/>
      </c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45"/>
      <c r="AZ62" s="45"/>
    </row>
    <row r="63" spans="2:52" x14ac:dyDescent="0.25">
      <c r="B63" s="41" t="str">
        <f>IF('Indice Plan'!$H61 = "", "", 'Indice Plan'!$H61)</f>
        <v/>
      </c>
      <c r="C63" s="44" t="str">
        <f t="shared" si="1"/>
        <v/>
      </c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</row>
    <row r="64" spans="2:52" x14ac:dyDescent="0.25">
      <c r="B64" s="41" t="str">
        <f>IF('Indice Plan'!$H62 = "", "", 'Indice Plan'!$H62)</f>
        <v/>
      </c>
      <c r="C64" s="44" t="str">
        <f t="shared" si="1"/>
        <v/>
      </c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45"/>
      <c r="AZ64" s="45"/>
    </row>
    <row r="65" spans="2:52" x14ac:dyDescent="0.25">
      <c r="B65" s="41" t="str">
        <f>IF('Indice Plan'!$H63 = "", "", 'Indice Plan'!$H63)</f>
        <v/>
      </c>
      <c r="C65" s="44" t="str">
        <f t="shared" si="1"/>
        <v/>
      </c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45"/>
      <c r="AZ65" s="45"/>
    </row>
    <row r="66" spans="2:52" x14ac:dyDescent="0.25">
      <c r="B66" s="41" t="str">
        <f>IF('Indice Plan'!$H64 = "", "", 'Indice Plan'!$H64)</f>
        <v/>
      </c>
      <c r="C66" s="44" t="str">
        <f t="shared" si="1"/>
        <v/>
      </c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  <c r="AZ66" s="45"/>
    </row>
    <row r="67" spans="2:52" x14ac:dyDescent="0.25">
      <c r="B67" s="41" t="str">
        <f>IF('Indice Plan'!$H65 = "", "", 'Indice Plan'!$H65)</f>
        <v/>
      </c>
      <c r="C67" s="44" t="str">
        <f t="shared" si="1"/>
        <v/>
      </c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  <c r="AK67" s="45"/>
      <c r="AL67" s="45"/>
      <c r="AM67" s="45"/>
      <c r="AN67" s="45"/>
      <c r="AO67" s="45"/>
      <c r="AP67" s="45"/>
      <c r="AQ67" s="45"/>
      <c r="AR67" s="45"/>
      <c r="AS67" s="45"/>
      <c r="AT67" s="45"/>
      <c r="AU67" s="45"/>
      <c r="AV67" s="45"/>
      <c r="AW67" s="45"/>
      <c r="AX67" s="45"/>
      <c r="AY67" s="45"/>
      <c r="AZ67" s="45"/>
    </row>
    <row r="68" spans="2:52" x14ac:dyDescent="0.25">
      <c r="B68" s="41" t="str">
        <f>IF('Indice Plan'!$H66 = "", "", 'Indice Plan'!$H66)</f>
        <v/>
      </c>
      <c r="C68" s="44" t="str">
        <f t="shared" si="1"/>
        <v/>
      </c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  <c r="AL68" s="45"/>
      <c r="AM68" s="45"/>
      <c r="AN68" s="45"/>
      <c r="AO68" s="45"/>
      <c r="AP68" s="45"/>
      <c r="AQ68" s="45"/>
      <c r="AR68" s="45"/>
      <c r="AS68" s="45"/>
      <c r="AT68" s="45"/>
      <c r="AU68" s="45"/>
      <c r="AV68" s="45"/>
      <c r="AW68" s="45"/>
      <c r="AX68" s="45"/>
      <c r="AY68" s="45"/>
      <c r="AZ68" s="45"/>
    </row>
    <row r="69" spans="2:52" x14ac:dyDescent="0.25">
      <c r="B69" s="41" t="str">
        <f>IF('Indice Plan'!$H67 = "", "", 'Indice Plan'!$H67)</f>
        <v/>
      </c>
      <c r="C69" s="44" t="str">
        <f t="shared" ref="C69:C100" si="2">IF($B69 = "", "", VLOOKUP($B69,Ind_Serre,2))</f>
        <v/>
      </c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  <c r="AZ69" s="45"/>
    </row>
    <row r="70" spans="2:52" x14ac:dyDescent="0.25">
      <c r="B70" s="41" t="str">
        <f>IF('Indice Plan'!$H68 = "", "", 'Indice Plan'!$H68)</f>
        <v/>
      </c>
      <c r="C70" s="44" t="str">
        <f t="shared" si="2"/>
        <v/>
      </c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  <c r="AZ70" s="45"/>
    </row>
    <row r="71" spans="2:52" x14ac:dyDescent="0.25">
      <c r="B71" s="41" t="str">
        <f>IF('Indice Plan'!$H69 = "", "", 'Indice Plan'!$H69)</f>
        <v/>
      </c>
      <c r="C71" s="44" t="str">
        <f t="shared" si="2"/>
        <v/>
      </c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</row>
    <row r="72" spans="2:52" x14ac:dyDescent="0.25">
      <c r="B72" s="41" t="str">
        <f>IF('Indice Plan'!$H70 = "", "", 'Indice Plan'!$H70)</f>
        <v/>
      </c>
      <c r="C72" s="44" t="str">
        <f t="shared" si="2"/>
        <v/>
      </c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</row>
    <row r="73" spans="2:52" x14ac:dyDescent="0.25">
      <c r="B73" s="41" t="str">
        <f>IF('Indice Plan'!$H71 = "", "", 'Indice Plan'!$H71)</f>
        <v/>
      </c>
      <c r="C73" s="44" t="str">
        <f t="shared" si="2"/>
        <v/>
      </c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  <c r="AZ73" s="45"/>
    </row>
    <row r="74" spans="2:52" x14ac:dyDescent="0.25">
      <c r="B74" s="41" t="str">
        <f>IF('Indice Plan'!$H72 = "", "", 'Indice Plan'!$H72)</f>
        <v/>
      </c>
      <c r="C74" s="44" t="str">
        <f t="shared" si="2"/>
        <v/>
      </c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  <c r="AL74" s="45"/>
      <c r="AM74" s="45"/>
      <c r="AN74" s="45"/>
      <c r="AO74" s="45"/>
      <c r="AP74" s="45"/>
      <c r="AQ74" s="45"/>
      <c r="AR74" s="45"/>
      <c r="AS74" s="45"/>
      <c r="AT74" s="45"/>
      <c r="AU74" s="45"/>
      <c r="AV74" s="45"/>
      <c r="AW74" s="45"/>
      <c r="AX74" s="45"/>
      <c r="AY74" s="45"/>
      <c r="AZ74" s="45"/>
    </row>
    <row r="75" spans="2:52" x14ac:dyDescent="0.25">
      <c r="B75" s="41" t="str">
        <f>IF('Indice Plan'!$H73 = "", "", 'Indice Plan'!$H73)</f>
        <v/>
      </c>
      <c r="C75" s="44" t="str">
        <f t="shared" si="2"/>
        <v/>
      </c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  <c r="AL75" s="45"/>
      <c r="AM75" s="45"/>
      <c r="AN75" s="45"/>
      <c r="AO75" s="45"/>
      <c r="AP75" s="45"/>
      <c r="AQ75" s="45"/>
      <c r="AR75" s="45"/>
      <c r="AS75" s="45"/>
      <c r="AT75" s="45"/>
      <c r="AU75" s="45"/>
      <c r="AV75" s="45"/>
      <c r="AW75" s="45"/>
      <c r="AX75" s="45"/>
      <c r="AY75" s="45"/>
      <c r="AZ75" s="45"/>
    </row>
    <row r="76" spans="2:52" x14ac:dyDescent="0.25">
      <c r="B76" s="41" t="str">
        <f>IF('Indice Plan'!$H74 = "", "", 'Indice Plan'!$H74)</f>
        <v/>
      </c>
      <c r="C76" s="44" t="str">
        <f t="shared" si="2"/>
        <v/>
      </c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  <c r="AL76" s="45"/>
      <c r="AM76" s="45"/>
      <c r="AN76" s="45"/>
      <c r="AO76" s="45"/>
      <c r="AP76" s="45"/>
      <c r="AQ76" s="45"/>
      <c r="AR76" s="45"/>
      <c r="AS76" s="45"/>
      <c r="AT76" s="45"/>
      <c r="AU76" s="45"/>
      <c r="AV76" s="45"/>
      <c r="AW76" s="45"/>
      <c r="AX76" s="45"/>
      <c r="AY76" s="45"/>
      <c r="AZ76" s="45"/>
    </row>
    <row r="77" spans="2:52" x14ac:dyDescent="0.25">
      <c r="B77" s="41" t="str">
        <f>IF('Indice Plan'!$H75 = "", "", 'Indice Plan'!$H75)</f>
        <v/>
      </c>
      <c r="C77" s="44" t="str">
        <f t="shared" si="2"/>
        <v/>
      </c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  <c r="AJ77" s="45"/>
      <c r="AK77" s="45"/>
      <c r="AL77" s="45"/>
      <c r="AM77" s="45"/>
      <c r="AN77" s="45"/>
      <c r="AO77" s="45"/>
      <c r="AP77" s="45"/>
      <c r="AQ77" s="45"/>
      <c r="AR77" s="45"/>
      <c r="AS77" s="45"/>
      <c r="AT77" s="45"/>
      <c r="AU77" s="45"/>
      <c r="AV77" s="45"/>
      <c r="AW77" s="45"/>
      <c r="AX77" s="45"/>
      <c r="AY77" s="45"/>
      <c r="AZ77" s="45"/>
    </row>
    <row r="78" spans="2:52" x14ac:dyDescent="0.25">
      <c r="B78" s="41" t="str">
        <f>IF('Indice Plan'!$H76 = "", "", 'Indice Plan'!$H76)</f>
        <v/>
      </c>
      <c r="C78" s="44" t="str">
        <f t="shared" si="2"/>
        <v/>
      </c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  <c r="AL78" s="45"/>
      <c r="AM78" s="45"/>
      <c r="AN78" s="45"/>
      <c r="AO78" s="45"/>
      <c r="AP78" s="45"/>
      <c r="AQ78" s="45"/>
      <c r="AR78" s="45"/>
      <c r="AS78" s="45"/>
      <c r="AT78" s="45"/>
      <c r="AU78" s="45"/>
      <c r="AV78" s="45"/>
      <c r="AW78" s="45"/>
      <c r="AX78" s="45"/>
      <c r="AY78" s="45"/>
      <c r="AZ78" s="45"/>
    </row>
    <row r="79" spans="2:52" x14ac:dyDescent="0.25">
      <c r="B79" s="41" t="str">
        <f>IF('Indice Plan'!$H77 = "", "", 'Indice Plan'!$H77)</f>
        <v/>
      </c>
      <c r="C79" s="44" t="str">
        <f t="shared" si="2"/>
        <v/>
      </c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  <c r="AL79" s="45"/>
      <c r="AM79" s="45"/>
      <c r="AN79" s="45"/>
      <c r="AO79" s="45"/>
      <c r="AP79" s="45"/>
      <c r="AQ79" s="45"/>
      <c r="AR79" s="45"/>
      <c r="AS79" s="45"/>
      <c r="AT79" s="45"/>
      <c r="AU79" s="45"/>
      <c r="AV79" s="45"/>
      <c r="AW79" s="45"/>
      <c r="AX79" s="45"/>
      <c r="AY79" s="45"/>
      <c r="AZ79" s="45"/>
    </row>
    <row r="80" spans="2:52" x14ac:dyDescent="0.25">
      <c r="B80" s="41" t="str">
        <f>IF('Indice Plan'!$H78 = "", "", 'Indice Plan'!$H78)</f>
        <v/>
      </c>
      <c r="C80" s="44" t="str">
        <f t="shared" si="2"/>
        <v/>
      </c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  <c r="AJ80" s="45"/>
      <c r="AK80" s="45"/>
      <c r="AL80" s="45"/>
      <c r="AM80" s="45"/>
      <c r="AN80" s="45"/>
      <c r="AO80" s="45"/>
      <c r="AP80" s="45"/>
      <c r="AQ80" s="45"/>
      <c r="AR80" s="45"/>
      <c r="AS80" s="45"/>
      <c r="AT80" s="45"/>
      <c r="AU80" s="45"/>
      <c r="AV80" s="45"/>
      <c r="AW80" s="45"/>
      <c r="AX80" s="45"/>
      <c r="AY80" s="45"/>
      <c r="AZ80" s="45"/>
    </row>
    <row r="81" spans="2:52" x14ac:dyDescent="0.25">
      <c r="B81" s="41" t="str">
        <f>IF('Indice Plan'!$H79 = "", "", 'Indice Plan'!$H79)</f>
        <v/>
      </c>
      <c r="C81" s="44" t="str">
        <f t="shared" si="2"/>
        <v/>
      </c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  <c r="AJ81" s="45"/>
      <c r="AK81" s="45"/>
      <c r="AL81" s="45"/>
      <c r="AM81" s="45"/>
      <c r="AN81" s="45"/>
      <c r="AO81" s="45"/>
      <c r="AP81" s="45"/>
      <c r="AQ81" s="45"/>
      <c r="AR81" s="45"/>
      <c r="AS81" s="45"/>
      <c r="AT81" s="45"/>
      <c r="AU81" s="45"/>
      <c r="AV81" s="45"/>
      <c r="AW81" s="45"/>
      <c r="AX81" s="45"/>
      <c r="AY81" s="45"/>
      <c r="AZ81" s="45"/>
    </row>
    <row r="82" spans="2:52" x14ac:dyDescent="0.25">
      <c r="B82" s="41" t="str">
        <f>IF('Indice Plan'!$H80 = "", "", 'Indice Plan'!$H80)</f>
        <v/>
      </c>
      <c r="C82" s="44" t="str">
        <f t="shared" si="2"/>
        <v/>
      </c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5"/>
      <c r="AI82" s="45"/>
      <c r="AJ82" s="45"/>
      <c r="AK82" s="45"/>
      <c r="AL82" s="45"/>
      <c r="AM82" s="45"/>
      <c r="AN82" s="45"/>
      <c r="AO82" s="45"/>
      <c r="AP82" s="45"/>
      <c r="AQ82" s="45"/>
      <c r="AR82" s="45"/>
      <c r="AS82" s="45"/>
      <c r="AT82" s="45"/>
      <c r="AU82" s="45"/>
      <c r="AV82" s="45"/>
      <c r="AW82" s="45"/>
      <c r="AX82" s="45"/>
      <c r="AY82" s="45"/>
      <c r="AZ82" s="45"/>
    </row>
    <row r="83" spans="2:52" x14ac:dyDescent="0.25">
      <c r="B83" s="41" t="str">
        <f>IF('Indice Plan'!$H81 = "", "", 'Indice Plan'!$H81)</f>
        <v/>
      </c>
      <c r="C83" s="44" t="str">
        <f t="shared" si="2"/>
        <v/>
      </c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5"/>
      <c r="AI83" s="45"/>
      <c r="AJ83" s="45"/>
      <c r="AK83" s="45"/>
      <c r="AL83" s="45"/>
      <c r="AM83" s="45"/>
      <c r="AN83" s="45"/>
      <c r="AO83" s="45"/>
      <c r="AP83" s="45"/>
      <c r="AQ83" s="45"/>
      <c r="AR83" s="45"/>
      <c r="AS83" s="45"/>
      <c r="AT83" s="45"/>
      <c r="AU83" s="45"/>
      <c r="AV83" s="45"/>
      <c r="AW83" s="45"/>
      <c r="AX83" s="45"/>
      <c r="AY83" s="45"/>
      <c r="AZ83" s="45"/>
    </row>
    <row r="84" spans="2:52" x14ac:dyDescent="0.25">
      <c r="B84" s="41" t="str">
        <f>IF('Indice Plan'!$H82 = "", "", 'Indice Plan'!$H82)</f>
        <v/>
      </c>
      <c r="C84" s="44" t="str">
        <f t="shared" si="2"/>
        <v/>
      </c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5"/>
      <c r="AI84" s="45"/>
      <c r="AJ84" s="45"/>
      <c r="AK84" s="45"/>
      <c r="AL84" s="45"/>
      <c r="AM84" s="45"/>
      <c r="AN84" s="45"/>
      <c r="AO84" s="45"/>
      <c r="AP84" s="45"/>
      <c r="AQ84" s="45"/>
      <c r="AR84" s="45"/>
      <c r="AS84" s="45"/>
      <c r="AT84" s="45"/>
      <c r="AU84" s="45"/>
      <c r="AV84" s="45"/>
      <c r="AW84" s="45"/>
      <c r="AX84" s="45"/>
      <c r="AY84" s="45"/>
      <c r="AZ84" s="45"/>
    </row>
    <row r="85" spans="2:52" x14ac:dyDescent="0.25">
      <c r="B85" s="41" t="str">
        <f>IF('Indice Plan'!$H83 = "", "", 'Indice Plan'!$H83)</f>
        <v/>
      </c>
      <c r="C85" s="44" t="str">
        <f t="shared" si="2"/>
        <v/>
      </c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5"/>
      <c r="AI85" s="45"/>
      <c r="AJ85" s="45"/>
      <c r="AK85" s="45"/>
      <c r="AL85" s="45"/>
      <c r="AM85" s="45"/>
      <c r="AN85" s="45"/>
      <c r="AO85" s="45"/>
      <c r="AP85" s="45"/>
      <c r="AQ85" s="45"/>
      <c r="AR85" s="45"/>
      <c r="AS85" s="45"/>
      <c r="AT85" s="45"/>
      <c r="AU85" s="45"/>
      <c r="AV85" s="45"/>
      <c r="AW85" s="45"/>
      <c r="AX85" s="45"/>
      <c r="AY85" s="45"/>
      <c r="AZ85" s="45"/>
    </row>
    <row r="86" spans="2:52" x14ac:dyDescent="0.25">
      <c r="B86" s="41" t="str">
        <f>IF('Indice Plan'!$H84 = "", "", 'Indice Plan'!$H84)</f>
        <v/>
      </c>
      <c r="C86" s="44" t="str">
        <f t="shared" si="2"/>
        <v/>
      </c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5"/>
      <c r="AI86" s="45"/>
      <c r="AJ86" s="45"/>
      <c r="AK86" s="45"/>
      <c r="AL86" s="45"/>
      <c r="AM86" s="45"/>
      <c r="AN86" s="45"/>
      <c r="AO86" s="45"/>
      <c r="AP86" s="45"/>
      <c r="AQ86" s="45"/>
      <c r="AR86" s="45"/>
      <c r="AS86" s="45"/>
      <c r="AT86" s="45"/>
      <c r="AU86" s="45"/>
      <c r="AV86" s="45"/>
      <c r="AW86" s="45"/>
      <c r="AX86" s="45"/>
      <c r="AY86" s="45"/>
      <c r="AZ86" s="45"/>
    </row>
    <row r="87" spans="2:52" x14ac:dyDescent="0.25">
      <c r="B87" s="41" t="str">
        <f>IF('Indice Plan'!$H85 = "", "", 'Indice Plan'!$H85)</f>
        <v/>
      </c>
      <c r="C87" s="44" t="str">
        <f t="shared" si="2"/>
        <v/>
      </c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5"/>
      <c r="AI87" s="45"/>
      <c r="AJ87" s="45"/>
      <c r="AK87" s="45"/>
      <c r="AL87" s="45"/>
      <c r="AM87" s="45"/>
      <c r="AN87" s="45"/>
      <c r="AO87" s="45"/>
      <c r="AP87" s="45"/>
      <c r="AQ87" s="45"/>
      <c r="AR87" s="45"/>
      <c r="AS87" s="45"/>
      <c r="AT87" s="45"/>
      <c r="AU87" s="45"/>
      <c r="AV87" s="45"/>
      <c r="AW87" s="45"/>
      <c r="AX87" s="45"/>
      <c r="AY87" s="45"/>
      <c r="AZ87" s="45"/>
    </row>
    <row r="88" spans="2:52" x14ac:dyDescent="0.25">
      <c r="B88" s="41" t="str">
        <f>IF('Indice Plan'!$H86 = "", "", 'Indice Plan'!$H86)</f>
        <v/>
      </c>
      <c r="C88" s="44" t="str">
        <f t="shared" si="2"/>
        <v/>
      </c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5"/>
      <c r="AI88" s="45"/>
      <c r="AJ88" s="45"/>
      <c r="AK88" s="45"/>
      <c r="AL88" s="45"/>
      <c r="AM88" s="45"/>
      <c r="AN88" s="45"/>
      <c r="AO88" s="45"/>
      <c r="AP88" s="45"/>
      <c r="AQ88" s="45"/>
      <c r="AR88" s="45"/>
      <c r="AS88" s="45"/>
      <c r="AT88" s="45"/>
      <c r="AU88" s="45"/>
      <c r="AV88" s="45"/>
      <c r="AW88" s="45"/>
      <c r="AX88" s="45"/>
      <c r="AY88" s="45"/>
      <c r="AZ88" s="45"/>
    </row>
    <row r="89" spans="2:52" x14ac:dyDescent="0.25">
      <c r="B89" s="41" t="str">
        <f>IF('Indice Plan'!$H87 = "", "", 'Indice Plan'!$H87)</f>
        <v/>
      </c>
      <c r="C89" s="44" t="str">
        <f t="shared" si="2"/>
        <v/>
      </c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5"/>
      <c r="AI89" s="45"/>
      <c r="AJ89" s="45"/>
      <c r="AK89" s="45"/>
      <c r="AL89" s="45"/>
      <c r="AM89" s="45"/>
      <c r="AN89" s="45"/>
      <c r="AO89" s="45"/>
      <c r="AP89" s="45"/>
      <c r="AQ89" s="45"/>
      <c r="AR89" s="45"/>
      <c r="AS89" s="45"/>
      <c r="AT89" s="45"/>
      <c r="AU89" s="45"/>
      <c r="AV89" s="45"/>
      <c r="AW89" s="45"/>
      <c r="AX89" s="45"/>
      <c r="AY89" s="45"/>
      <c r="AZ89" s="45"/>
    </row>
    <row r="90" spans="2:52" x14ac:dyDescent="0.25">
      <c r="B90" s="41" t="str">
        <f>IF('Indice Plan'!$H88 = "", "", 'Indice Plan'!$H88)</f>
        <v/>
      </c>
      <c r="C90" s="44" t="str">
        <f t="shared" si="2"/>
        <v/>
      </c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5"/>
      <c r="AI90" s="45"/>
      <c r="AJ90" s="45"/>
      <c r="AK90" s="45"/>
      <c r="AL90" s="45"/>
      <c r="AM90" s="45"/>
      <c r="AN90" s="45"/>
      <c r="AO90" s="45"/>
      <c r="AP90" s="45"/>
      <c r="AQ90" s="45"/>
      <c r="AR90" s="45"/>
      <c r="AS90" s="45"/>
      <c r="AT90" s="45"/>
      <c r="AU90" s="45"/>
      <c r="AV90" s="45"/>
      <c r="AW90" s="45"/>
      <c r="AX90" s="45"/>
      <c r="AY90" s="45"/>
      <c r="AZ90" s="45"/>
    </row>
    <row r="91" spans="2:52" x14ac:dyDescent="0.25">
      <c r="B91" s="41" t="str">
        <f>IF('Indice Plan'!$H89 = "", "", 'Indice Plan'!$H89)</f>
        <v/>
      </c>
      <c r="C91" s="44" t="str">
        <f t="shared" si="2"/>
        <v/>
      </c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5"/>
      <c r="AI91" s="45"/>
      <c r="AJ91" s="45"/>
      <c r="AK91" s="45"/>
      <c r="AL91" s="45"/>
      <c r="AM91" s="45"/>
      <c r="AN91" s="45"/>
      <c r="AO91" s="45"/>
      <c r="AP91" s="45"/>
      <c r="AQ91" s="45"/>
      <c r="AR91" s="45"/>
      <c r="AS91" s="45"/>
      <c r="AT91" s="45"/>
      <c r="AU91" s="45"/>
      <c r="AV91" s="45"/>
      <c r="AW91" s="45"/>
      <c r="AX91" s="45"/>
      <c r="AY91" s="45"/>
      <c r="AZ91" s="45"/>
    </row>
    <row r="92" spans="2:52" x14ac:dyDescent="0.25">
      <c r="B92" s="41" t="str">
        <f>IF('Indice Plan'!$H90 = "", "", 'Indice Plan'!$H90)</f>
        <v/>
      </c>
      <c r="C92" s="44" t="str">
        <f t="shared" si="2"/>
        <v/>
      </c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5"/>
      <c r="AI92" s="45"/>
      <c r="AJ92" s="45"/>
      <c r="AK92" s="45"/>
      <c r="AL92" s="45"/>
      <c r="AM92" s="45"/>
      <c r="AN92" s="45"/>
      <c r="AO92" s="45"/>
      <c r="AP92" s="45"/>
      <c r="AQ92" s="45"/>
      <c r="AR92" s="45"/>
      <c r="AS92" s="45"/>
      <c r="AT92" s="45"/>
      <c r="AU92" s="45"/>
      <c r="AV92" s="45"/>
      <c r="AW92" s="45"/>
      <c r="AX92" s="45"/>
      <c r="AY92" s="45"/>
      <c r="AZ92" s="45"/>
    </row>
    <row r="93" spans="2:52" x14ac:dyDescent="0.25">
      <c r="B93" s="41" t="str">
        <f>IF('Indice Plan'!$H91 = "", "", 'Indice Plan'!$H91)</f>
        <v/>
      </c>
      <c r="C93" s="44" t="str">
        <f t="shared" si="2"/>
        <v/>
      </c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  <c r="AL93" s="45"/>
      <c r="AM93" s="45"/>
      <c r="AN93" s="45"/>
      <c r="AO93" s="45"/>
      <c r="AP93" s="45"/>
      <c r="AQ93" s="45"/>
      <c r="AR93" s="45"/>
      <c r="AS93" s="45"/>
      <c r="AT93" s="45"/>
      <c r="AU93" s="45"/>
      <c r="AV93" s="45"/>
      <c r="AW93" s="45"/>
      <c r="AX93" s="45"/>
      <c r="AY93" s="45"/>
      <c r="AZ93" s="45"/>
    </row>
    <row r="94" spans="2:52" x14ac:dyDescent="0.25">
      <c r="B94" s="41" t="str">
        <f>IF('Indice Plan'!$H92 = "", "", 'Indice Plan'!$H92)</f>
        <v/>
      </c>
      <c r="C94" s="44" t="str">
        <f t="shared" si="2"/>
        <v/>
      </c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5"/>
      <c r="AI94" s="45"/>
      <c r="AJ94" s="45"/>
      <c r="AK94" s="45"/>
      <c r="AL94" s="45"/>
      <c r="AM94" s="45"/>
      <c r="AN94" s="45"/>
      <c r="AO94" s="45"/>
      <c r="AP94" s="45"/>
      <c r="AQ94" s="45"/>
      <c r="AR94" s="45"/>
      <c r="AS94" s="45"/>
      <c r="AT94" s="45"/>
      <c r="AU94" s="45"/>
      <c r="AV94" s="45"/>
      <c r="AW94" s="45"/>
      <c r="AX94" s="45"/>
      <c r="AY94" s="45"/>
      <c r="AZ94" s="45"/>
    </row>
    <row r="95" spans="2:52" x14ac:dyDescent="0.25">
      <c r="B95" s="41" t="str">
        <f>IF('Indice Plan'!$H93 = "", "", 'Indice Plan'!$H93)</f>
        <v/>
      </c>
      <c r="C95" s="44" t="str">
        <f t="shared" si="2"/>
        <v/>
      </c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45"/>
      <c r="AJ95" s="45"/>
      <c r="AK95" s="45"/>
      <c r="AL95" s="45"/>
      <c r="AM95" s="45"/>
      <c r="AN95" s="45"/>
      <c r="AO95" s="45"/>
      <c r="AP95" s="45"/>
      <c r="AQ95" s="45"/>
      <c r="AR95" s="45"/>
      <c r="AS95" s="45"/>
      <c r="AT95" s="45"/>
      <c r="AU95" s="45"/>
      <c r="AV95" s="45"/>
      <c r="AW95" s="45"/>
      <c r="AX95" s="45"/>
      <c r="AY95" s="45"/>
      <c r="AZ95" s="45"/>
    </row>
    <row r="96" spans="2:52" x14ac:dyDescent="0.25">
      <c r="B96" s="41" t="str">
        <f>IF('Indice Plan'!$H94 = "", "", 'Indice Plan'!$H94)</f>
        <v/>
      </c>
      <c r="C96" s="44" t="str">
        <f t="shared" si="2"/>
        <v/>
      </c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45"/>
      <c r="AJ96" s="45"/>
      <c r="AK96" s="45"/>
      <c r="AL96" s="45"/>
      <c r="AM96" s="45"/>
      <c r="AN96" s="45"/>
      <c r="AO96" s="45"/>
      <c r="AP96" s="45"/>
      <c r="AQ96" s="45"/>
      <c r="AR96" s="45"/>
      <c r="AS96" s="45"/>
      <c r="AT96" s="45"/>
      <c r="AU96" s="45"/>
      <c r="AV96" s="45"/>
      <c r="AW96" s="45"/>
      <c r="AX96" s="45"/>
      <c r="AY96" s="45"/>
      <c r="AZ96" s="45"/>
    </row>
    <row r="97" spans="2:52" x14ac:dyDescent="0.25">
      <c r="B97" s="41" t="str">
        <f>IF('Indice Plan'!$H95 = "", "", 'Indice Plan'!$H95)</f>
        <v/>
      </c>
      <c r="C97" s="44" t="str">
        <f t="shared" si="2"/>
        <v/>
      </c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45"/>
      <c r="AJ97" s="45"/>
      <c r="AK97" s="45"/>
      <c r="AL97" s="45"/>
      <c r="AM97" s="45"/>
      <c r="AN97" s="45"/>
      <c r="AO97" s="45"/>
      <c r="AP97" s="45"/>
      <c r="AQ97" s="45"/>
      <c r="AR97" s="45"/>
      <c r="AS97" s="45"/>
      <c r="AT97" s="45"/>
      <c r="AU97" s="45"/>
      <c r="AV97" s="45"/>
      <c r="AW97" s="45"/>
      <c r="AX97" s="45"/>
      <c r="AY97" s="45"/>
      <c r="AZ97" s="45"/>
    </row>
    <row r="98" spans="2:52" x14ac:dyDescent="0.25">
      <c r="B98" s="41" t="str">
        <f>IF('Indice Plan'!$H96 = "", "", 'Indice Plan'!$H96)</f>
        <v/>
      </c>
      <c r="C98" s="44" t="str">
        <f t="shared" si="2"/>
        <v/>
      </c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5"/>
      <c r="AI98" s="45"/>
      <c r="AJ98" s="45"/>
      <c r="AK98" s="45"/>
      <c r="AL98" s="45"/>
      <c r="AM98" s="45"/>
      <c r="AN98" s="45"/>
      <c r="AO98" s="45"/>
      <c r="AP98" s="45"/>
      <c r="AQ98" s="45"/>
      <c r="AR98" s="45"/>
      <c r="AS98" s="45"/>
      <c r="AT98" s="45"/>
      <c r="AU98" s="45"/>
      <c r="AV98" s="45"/>
      <c r="AW98" s="45"/>
      <c r="AX98" s="45"/>
      <c r="AY98" s="45"/>
      <c r="AZ98" s="45"/>
    </row>
    <row r="99" spans="2:52" x14ac:dyDescent="0.25">
      <c r="B99" s="41" t="str">
        <f>IF('Indice Plan'!$H97 = "", "", 'Indice Plan'!$H97)</f>
        <v/>
      </c>
      <c r="C99" s="44" t="str">
        <f t="shared" si="2"/>
        <v/>
      </c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</row>
    <row r="100" spans="2:52" x14ac:dyDescent="0.25">
      <c r="B100" s="41" t="str">
        <f>IF('Indice Plan'!$H98 = "", "", 'Indice Plan'!$H98)</f>
        <v/>
      </c>
      <c r="C100" s="44" t="str">
        <f t="shared" si="2"/>
        <v/>
      </c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5"/>
      <c r="AI100" s="45"/>
      <c r="AJ100" s="45"/>
      <c r="AK100" s="45"/>
      <c r="AL100" s="45"/>
      <c r="AM100" s="45"/>
      <c r="AN100" s="45"/>
      <c r="AO100" s="45"/>
      <c r="AP100" s="45"/>
      <c r="AQ100" s="45"/>
      <c r="AR100" s="45"/>
      <c r="AS100" s="45"/>
      <c r="AT100" s="45"/>
      <c r="AU100" s="45"/>
      <c r="AV100" s="45"/>
      <c r="AW100" s="45"/>
      <c r="AX100" s="45"/>
      <c r="AY100" s="45"/>
      <c r="AZ100" s="45"/>
    </row>
  </sheetData>
  <mergeCells count="2">
    <mergeCell ref="D4:AZ4"/>
    <mergeCell ref="B1:D2"/>
  </mergeCells>
  <conditionalFormatting sqref="D5:AZ100">
    <cfRule type="containsBlanks" dxfId="4" priority="2">
      <formula>LEN(TRIM(D5))=0</formula>
    </cfRule>
  </conditionalFormatting>
  <conditionalFormatting sqref="B5:C100">
    <cfRule type="containsBlanks" dxfId="3" priority="4">
      <formula>LEN(TRIM(B5))=0</formula>
    </cfRule>
  </conditionalFormatting>
  <dataValidations count="2">
    <dataValidation type="list" allowBlank="1" showInputMessage="1" showErrorMessage="1" sqref="BA5:DZ100" xr:uid="{9F80114C-0E95-4038-89EF-85BBE548F35C}">
      <formula1>List_Toiture</formula1>
    </dataValidation>
    <dataValidation type="list" allowBlank="1" showInputMessage="1" showErrorMessage="1" sqref="D5:AZ100" xr:uid="{3178447A-4C89-488C-9E8A-2E9D3C8424FB}">
      <formula1>List_Serre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8B408-2801-4C0F-B41A-AA7C4B2280B3}">
  <sheetPr codeName="Feuil7"/>
  <dimension ref="B1:AZ100"/>
  <sheetViews>
    <sheetView showGridLines="0" zoomScale="70" zoomScaleNormal="7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G3" sqref="G3"/>
    </sheetView>
  </sheetViews>
  <sheetFormatPr baseColWidth="10" defaultColWidth="35.7109375" defaultRowHeight="15" x14ac:dyDescent="0.25"/>
  <cols>
    <col min="1" max="1" width="2.85546875" style="2" customWidth="1"/>
    <col min="2" max="2" width="8.5703125" style="2" customWidth="1"/>
    <col min="3" max="3" width="142.85546875" style="3" customWidth="1"/>
    <col min="4" max="16384" width="35.7109375" style="2"/>
  </cols>
  <sheetData>
    <row r="1" spans="2:52" ht="22.5" customHeight="1" x14ac:dyDescent="0.25">
      <c r="B1" s="90" t="s">
        <v>205</v>
      </c>
      <c r="C1" s="91"/>
      <c r="D1" s="91"/>
      <c r="E1" s="62" t="s">
        <v>307</v>
      </c>
      <c r="F1" s="62" t="s">
        <v>310</v>
      </c>
      <c r="G1" s="62" t="s">
        <v>309</v>
      </c>
    </row>
    <row r="2" spans="2:52" ht="22.5" customHeight="1" x14ac:dyDescent="0.25">
      <c r="B2" s="93"/>
      <c r="C2" s="94"/>
      <c r="D2" s="94"/>
      <c r="E2" s="63" t="s">
        <v>308</v>
      </c>
      <c r="F2" s="64">
        <v>43656</v>
      </c>
      <c r="G2" s="63" t="s">
        <v>433</v>
      </c>
    </row>
    <row r="4" spans="2:52" s="36" customFormat="1" ht="30" customHeight="1" x14ac:dyDescent="0.25">
      <c r="B4" s="65" t="s">
        <v>194</v>
      </c>
      <c r="C4" s="65" t="s">
        <v>195</v>
      </c>
      <c r="D4" s="89" t="s">
        <v>196</v>
      </c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</row>
    <row r="5" spans="2:52" x14ac:dyDescent="0.25">
      <c r="B5" s="40" t="str">
        <f>IF('Indice Plan'!$J3 = "", "", 'Indice Plan'!$J3)</f>
        <v>2010</v>
      </c>
      <c r="C5" s="39" t="str">
        <f t="shared" ref="C5:C36" si="0">IF($B5 = "", "", VLOOKUP($B5,Ind_Syn,2))</f>
        <v>SCHEMA UNIFILAIRE GENERAL</v>
      </c>
      <c r="D5" s="37" t="s">
        <v>152</v>
      </c>
      <c r="E5" s="37" t="s">
        <v>178</v>
      </c>
      <c r="F5" s="37" t="s">
        <v>146</v>
      </c>
      <c r="G5" s="37" t="s">
        <v>147</v>
      </c>
      <c r="H5" s="37" t="s">
        <v>182</v>
      </c>
      <c r="I5" s="37" t="s">
        <v>183</v>
      </c>
      <c r="J5" s="37" t="s">
        <v>155</v>
      </c>
      <c r="K5" s="37" t="s">
        <v>158</v>
      </c>
      <c r="L5" s="37" t="s">
        <v>160</v>
      </c>
      <c r="M5" s="37" t="s">
        <v>161</v>
      </c>
      <c r="N5" s="37" t="s">
        <v>163</v>
      </c>
      <c r="O5" s="37" t="s">
        <v>164</v>
      </c>
      <c r="P5" s="37" t="s">
        <v>165</v>
      </c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</row>
    <row r="6" spans="2:52" x14ac:dyDescent="0.25">
      <c r="B6" s="41" t="str">
        <f>IF('Indice Plan'!$J4 = "", "", 'Indice Plan'!$J4)</f>
        <v>2020</v>
      </c>
      <c r="C6" s="44" t="str">
        <f t="shared" si="0"/>
        <v>SCHEMA UNIFILAIRE HTA</v>
      </c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</row>
    <row r="7" spans="2:52" x14ac:dyDescent="0.25">
      <c r="B7" s="41" t="str">
        <f>IF('Indice Plan'!$J5 = "", "", 'Indice Plan'!$J5)</f>
        <v>2030</v>
      </c>
      <c r="C7" s="44" t="str">
        <f t="shared" si="0"/>
        <v>SCHEMA UNIFILAIRE DES AUXILIAIRES</v>
      </c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</row>
    <row r="8" spans="2:52" x14ac:dyDescent="0.25">
      <c r="B8" s="41" t="str">
        <f>IF('Indice Plan'!$J6 = "", "", 'Indice Plan'!$J6)</f>
        <v>2040</v>
      </c>
      <c r="C8" s="44" t="str">
        <f t="shared" si="0"/>
        <v>SCHEMA UNIFILAIRE DE COMMUNICATION / VUE D'ENSEMBLE DU RESEAU</v>
      </c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</row>
    <row r="9" spans="2:52" x14ac:dyDescent="0.25">
      <c r="B9" s="41" t="str">
        <f>IF('Indice Plan'!$J7 = "", "", 'Indice Plan'!$J7)</f>
        <v>2050</v>
      </c>
      <c r="C9" s="44" t="str">
        <f t="shared" si="0"/>
        <v>SCHEMA UNIFILAIRE DE COMMUNICATION / STATION METEO</v>
      </c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  <c r="AZ9" s="45"/>
    </row>
    <row r="10" spans="2:52" x14ac:dyDescent="0.25">
      <c r="B10" s="41" t="str">
        <f>IF('Indice Plan'!$J8 = "", "", 'Indice Plan'!$J8)</f>
        <v>2060</v>
      </c>
      <c r="C10" s="44" t="str">
        <f t="shared" si="0"/>
        <v>SCHEMA UNIFILAIRE DE COMMUNICATION / RESEAU FIBRE OPTIQUE</v>
      </c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</row>
    <row r="11" spans="2:52" x14ac:dyDescent="0.25">
      <c r="B11" s="41" t="str">
        <f>IF('Indice Plan'!$J9 = "", "", 'Indice Plan'!$J9)</f>
        <v/>
      </c>
      <c r="C11" s="44" t="str">
        <f t="shared" si="0"/>
        <v/>
      </c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</row>
    <row r="12" spans="2:52" x14ac:dyDescent="0.25">
      <c r="B12" s="41" t="str">
        <f>IF('Indice Plan'!$J10 = "", "", 'Indice Plan'!$J10)</f>
        <v/>
      </c>
      <c r="C12" s="44" t="str">
        <f t="shared" si="0"/>
        <v/>
      </c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</row>
    <row r="13" spans="2:52" x14ac:dyDescent="0.25">
      <c r="B13" s="41" t="str">
        <f>IF('Indice Plan'!$J11 = "", "", 'Indice Plan'!$J11)</f>
        <v/>
      </c>
      <c r="C13" s="44" t="str">
        <f t="shared" si="0"/>
        <v/>
      </c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</row>
    <row r="14" spans="2:52" x14ac:dyDescent="0.25">
      <c r="B14" s="41" t="str">
        <f>IF('Indice Plan'!$J12 = "", "", 'Indice Plan'!$J12)</f>
        <v/>
      </c>
      <c r="C14" s="44" t="str">
        <f t="shared" si="0"/>
        <v/>
      </c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</row>
    <row r="15" spans="2:52" x14ac:dyDescent="0.25">
      <c r="B15" s="41" t="str">
        <f>IF('Indice Plan'!$J13 = "", "", 'Indice Plan'!$J13)</f>
        <v/>
      </c>
      <c r="C15" s="44" t="str">
        <f t="shared" si="0"/>
        <v/>
      </c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</row>
    <row r="16" spans="2:52" x14ac:dyDescent="0.25">
      <c r="B16" s="41" t="str">
        <f>IF('Indice Plan'!$J14 = "", "", 'Indice Plan'!$J14)</f>
        <v/>
      </c>
      <c r="C16" s="44" t="str">
        <f t="shared" si="0"/>
        <v/>
      </c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  <c r="AY16" s="45"/>
      <c r="AZ16" s="45"/>
    </row>
    <row r="17" spans="2:52" x14ac:dyDescent="0.25">
      <c r="B17" s="41" t="str">
        <f>IF('Indice Plan'!$J15 = "", "", 'Indice Plan'!$J15)</f>
        <v/>
      </c>
      <c r="C17" s="44" t="str">
        <f t="shared" si="0"/>
        <v/>
      </c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</row>
    <row r="18" spans="2:52" x14ac:dyDescent="0.25">
      <c r="B18" s="41" t="str">
        <f>IF('Indice Plan'!$J16 = "", "", 'Indice Plan'!$J16)</f>
        <v/>
      </c>
      <c r="C18" s="44" t="str">
        <f t="shared" si="0"/>
        <v/>
      </c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45"/>
      <c r="AZ18" s="45"/>
    </row>
    <row r="19" spans="2:52" x14ac:dyDescent="0.25">
      <c r="B19" s="41" t="str">
        <f>IF('Indice Plan'!$J17 = "", "", 'Indice Plan'!$J17)</f>
        <v/>
      </c>
      <c r="C19" s="44" t="str">
        <f t="shared" si="0"/>
        <v/>
      </c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5"/>
      <c r="AZ19" s="45"/>
    </row>
    <row r="20" spans="2:52" x14ac:dyDescent="0.25">
      <c r="B20" s="41" t="str">
        <f>IF('Indice Plan'!$J18 = "", "", 'Indice Plan'!$J18)</f>
        <v/>
      </c>
      <c r="C20" s="44" t="str">
        <f t="shared" si="0"/>
        <v/>
      </c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5"/>
    </row>
    <row r="21" spans="2:52" x14ac:dyDescent="0.25">
      <c r="B21" s="41" t="str">
        <f>IF('Indice Plan'!$J19 = "", "", 'Indice Plan'!$J19)</f>
        <v/>
      </c>
      <c r="C21" s="44" t="str">
        <f t="shared" si="0"/>
        <v/>
      </c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  <c r="AZ21" s="45"/>
    </row>
    <row r="22" spans="2:52" x14ac:dyDescent="0.25">
      <c r="B22" s="41" t="str">
        <f>IF('Indice Plan'!$J20 = "", "", 'Indice Plan'!$J20)</f>
        <v/>
      </c>
      <c r="C22" s="44" t="str">
        <f t="shared" si="0"/>
        <v/>
      </c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</row>
    <row r="23" spans="2:52" x14ac:dyDescent="0.25">
      <c r="B23" s="41" t="str">
        <f>IF('Indice Plan'!$J21 = "", "", 'Indice Plan'!$J21)</f>
        <v/>
      </c>
      <c r="C23" s="44" t="str">
        <f t="shared" si="0"/>
        <v/>
      </c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5"/>
    </row>
    <row r="24" spans="2:52" x14ac:dyDescent="0.25">
      <c r="B24" s="41" t="str">
        <f>IF('Indice Plan'!$J22 = "", "", 'Indice Plan'!$J22)</f>
        <v/>
      </c>
      <c r="C24" s="44" t="str">
        <f t="shared" si="0"/>
        <v/>
      </c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</row>
    <row r="25" spans="2:52" x14ac:dyDescent="0.25">
      <c r="B25" s="41" t="str">
        <f>IF('Indice Plan'!$J23 = "", "", 'Indice Plan'!$J23)</f>
        <v/>
      </c>
      <c r="C25" s="44" t="str">
        <f t="shared" si="0"/>
        <v/>
      </c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  <c r="AZ25" s="45"/>
    </row>
    <row r="26" spans="2:52" x14ac:dyDescent="0.25">
      <c r="B26" s="41" t="str">
        <f>IF('Indice Plan'!$J24 = "", "", 'Indice Plan'!$J24)</f>
        <v/>
      </c>
      <c r="C26" s="44" t="str">
        <f t="shared" si="0"/>
        <v/>
      </c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45"/>
      <c r="AY26" s="45"/>
      <c r="AZ26" s="45"/>
    </row>
    <row r="27" spans="2:52" x14ac:dyDescent="0.25">
      <c r="B27" s="41" t="str">
        <f>IF('Indice Plan'!$J25 = "", "", 'Indice Plan'!$J25)</f>
        <v/>
      </c>
      <c r="C27" s="44" t="str">
        <f t="shared" si="0"/>
        <v/>
      </c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5"/>
      <c r="AI27" s="45"/>
      <c r="AJ27" s="45"/>
      <c r="AK27" s="45"/>
      <c r="AL27" s="45"/>
      <c r="AM27" s="45"/>
      <c r="AN27" s="45"/>
      <c r="AO27" s="45"/>
      <c r="AP27" s="45"/>
      <c r="AQ27" s="45"/>
      <c r="AR27" s="45"/>
      <c r="AS27" s="45"/>
      <c r="AT27" s="45"/>
      <c r="AU27" s="45"/>
      <c r="AV27" s="45"/>
      <c r="AW27" s="45"/>
      <c r="AX27" s="45"/>
      <c r="AY27" s="45"/>
      <c r="AZ27" s="45"/>
    </row>
    <row r="28" spans="2:52" x14ac:dyDescent="0.25">
      <c r="B28" s="41" t="str">
        <f>IF('Indice Plan'!$J26 = "", "", 'Indice Plan'!$J26)</f>
        <v/>
      </c>
      <c r="C28" s="44" t="str">
        <f t="shared" si="0"/>
        <v/>
      </c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5"/>
      <c r="AI28" s="45"/>
      <c r="AJ28" s="45"/>
      <c r="AK28" s="45"/>
      <c r="AL28" s="45"/>
      <c r="AM28" s="45"/>
      <c r="AN28" s="45"/>
      <c r="AO28" s="45"/>
      <c r="AP28" s="45"/>
      <c r="AQ28" s="45"/>
      <c r="AR28" s="45"/>
      <c r="AS28" s="45"/>
      <c r="AT28" s="45"/>
      <c r="AU28" s="45"/>
      <c r="AV28" s="45"/>
      <c r="AW28" s="45"/>
      <c r="AX28" s="45"/>
      <c r="AY28" s="45"/>
      <c r="AZ28" s="45"/>
    </row>
    <row r="29" spans="2:52" x14ac:dyDescent="0.25">
      <c r="B29" s="41" t="str">
        <f>IF('Indice Plan'!$J27 = "", "", 'Indice Plan'!$J27)</f>
        <v/>
      </c>
      <c r="C29" s="44" t="str">
        <f t="shared" si="0"/>
        <v/>
      </c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5"/>
      <c r="AN29" s="45"/>
      <c r="AO29" s="45"/>
      <c r="AP29" s="45"/>
      <c r="AQ29" s="45"/>
      <c r="AR29" s="45"/>
      <c r="AS29" s="45"/>
      <c r="AT29" s="45"/>
      <c r="AU29" s="45"/>
      <c r="AV29" s="45"/>
      <c r="AW29" s="45"/>
      <c r="AX29" s="45"/>
      <c r="AY29" s="45"/>
      <c r="AZ29" s="45"/>
    </row>
    <row r="30" spans="2:52" x14ac:dyDescent="0.25">
      <c r="B30" s="41" t="str">
        <f>IF('Indice Plan'!$J28 = "", "", 'Indice Plan'!$J28)</f>
        <v/>
      </c>
      <c r="C30" s="44" t="str">
        <f t="shared" si="0"/>
        <v/>
      </c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  <c r="AI30" s="45"/>
      <c r="AJ30" s="45"/>
      <c r="AK30" s="45"/>
      <c r="AL30" s="45"/>
      <c r="AM30" s="45"/>
      <c r="AN30" s="45"/>
      <c r="AO30" s="45"/>
      <c r="AP30" s="45"/>
      <c r="AQ30" s="45"/>
      <c r="AR30" s="45"/>
      <c r="AS30" s="45"/>
      <c r="AT30" s="45"/>
      <c r="AU30" s="45"/>
      <c r="AV30" s="45"/>
      <c r="AW30" s="45"/>
      <c r="AX30" s="45"/>
      <c r="AY30" s="45"/>
      <c r="AZ30" s="45"/>
    </row>
    <row r="31" spans="2:52" x14ac:dyDescent="0.25">
      <c r="B31" s="41" t="str">
        <f>IF('Indice Plan'!$J29 = "", "", 'Indice Plan'!$J29)</f>
        <v/>
      </c>
      <c r="C31" s="44" t="str">
        <f t="shared" si="0"/>
        <v/>
      </c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5"/>
      <c r="AN31" s="45"/>
      <c r="AO31" s="45"/>
      <c r="AP31" s="45"/>
      <c r="AQ31" s="45"/>
      <c r="AR31" s="45"/>
      <c r="AS31" s="45"/>
      <c r="AT31" s="45"/>
      <c r="AU31" s="45"/>
      <c r="AV31" s="45"/>
      <c r="AW31" s="45"/>
      <c r="AX31" s="45"/>
      <c r="AY31" s="45"/>
      <c r="AZ31" s="45"/>
    </row>
    <row r="32" spans="2:52" x14ac:dyDescent="0.25">
      <c r="B32" s="41" t="str">
        <f>IF('Indice Plan'!$J30 = "", "", 'Indice Plan'!$J30)</f>
        <v/>
      </c>
      <c r="C32" s="44" t="str">
        <f t="shared" si="0"/>
        <v/>
      </c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5"/>
      <c r="AN32" s="45"/>
      <c r="AO32" s="45"/>
      <c r="AP32" s="45"/>
      <c r="AQ32" s="45"/>
      <c r="AR32" s="45"/>
      <c r="AS32" s="45"/>
      <c r="AT32" s="45"/>
      <c r="AU32" s="45"/>
      <c r="AV32" s="45"/>
      <c r="AW32" s="45"/>
      <c r="AX32" s="45"/>
      <c r="AY32" s="45"/>
      <c r="AZ32" s="45"/>
    </row>
    <row r="33" spans="2:52" x14ac:dyDescent="0.25">
      <c r="B33" s="41" t="str">
        <f>IF('Indice Plan'!$J31 = "", "", 'Indice Plan'!$J31)</f>
        <v/>
      </c>
      <c r="C33" s="44" t="str">
        <f t="shared" si="0"/>
        <v/>
      </c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5"/>
      <c r="AN33" s="45"/>
      <c r="AO33" s="45"/>
      <c r="AP33" s="45"/>
      <c r="AQ33" s="45"/>
      <c r="AR33" s="45"/>
      <c r="AS33" s="45"/>
      <c r="AT33" s="45"/>
      <c r="AU33" s="45"/>
      <c r="AV33" s="45"/>
      <c r="AW33" s="45"/>
      <c r="AX33" s="45"/>
      <c r="AY33" s="45"/>
      <c r="AZ33" s="45"/>
    </row>
    <row r="34" spans="2:52" x14ac:dyDescent="0.25">
      <c r="B34" s="41" t="str">
        <f>IF('Indice Plan'!$J32 = "", "", 'Indice Plan'!$J32)</f>
        <v/>
      </c>
      <c r="C34" s="44" t="str">
        <f t="shared" si="0"/>
        <v/>
      </c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5"/>
      <c r="AI34" s="45"/>
      <c r="AJ34" s="45"/>
      <c r="AK34" s="45"/>
      <c r="AL34" s="45"/>
      <c r="AM34" s="45"/>
      <c r="AN34" s="45"/>
      <c r="AO34" s="45"/>
      <c r="AP34" s="45"/>
      <c r="AQ34" s="45"/>
      <c r="AR34" s="45"/>
      <c r="AS34" s="45"/>
      <c r="AT34" s="45"/>
      <c r="AU34" s="45"/>
      <c r="AV34" s="45"/>
      <c r="AW34" s="45"/>
      <c r="AX34" s="45"/>
      <c r="AY34" s="45"/>
      <c r="AZ34" s="45"/>
    </row>
    <row r="35" spans="2:52" x14ac:dyDescent="0.25">
      <c r="B35" s="41" t="str">
        <f>IF('Indice Plan'!$J33 = "", "", 'Indice Plan'!$J33)</f>
        <v/>
      </c>
      <c r="C35" s="44" t="str">
        <f t="shared" si="0"/>
        <v/>
      </c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5"/>
      <c r="AI35" s="45"/>
      <c r="AJ35" s="45"/>
      <c r="AK35" s="45"/>
      <c r="AL35" s="45"/>
      <c r="AM35" s="45"/>
      <c r="AN35" s="45"/>
      <c r="AO35" s="45"/>
      <c r="AP35" s="45"/>
      <c r="AQ35" s="45"/>
      <c r="AR35" s="45"/>
      <c r="AS35" s="45"/>
      <c r="AT35" s="45"/>
      <c r="AU35" s="45"/>
      <c r="AV35" s="45"/>
      <c r="AW35" s="45"/>
      <c r="AX35" s="45"/>
      <c r="AY35" s="45"/>
      <c r="AZ35" s="45"/>
    </row>
    <row r="36" spans="2:52" x14ac:dyDescent="0.25">
      <c r="B36" s="41" t="str">
        <f>IF('Indice Plan'!$J34 = "", "", 'Indice Plan'!$J34)</f>
        <v/>
      </c>
      <c r="C36" s="44" t="str">
        <f t="shared" si="0"/>
        <v/>
      </c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5"/>
      <c r="AI36" s="45"/>
      <c r="AJ36" s="45"/>
      <c r="AK36" s="45"/>
      <c r="AL36" s="45"/>
      <c r="AM36" s="45"/>
      <c r="AN36" s="45"/>
      <c r="AO36" s="45"/>
      <c r="AP36" s="45"/>
      <c r="AQ36" s="45"/>
      <c r="AR36" s="45"/>
      <c r="AS36" s="45"/>
      <c r="AT36" s="45"/>
      <c r="AU36" s="45"/>
      <c r="AV36" s="45"/>
      <c r="AW36" s="45"/>
      <c r="AX36" s="45"/>
      <c r="AY36" s="45"/>
      <c r="AZ36" s="45"/>
    </row>
    <row r="37" spans="2:52" x14ac:dyDescent="0.25">
      <c r="B37" s="41" t="str">
        <f>IF('Indice Plan'!$J35 = "", "", 'Indice Plan'!$J35)</f>
        <v/>
      </c>
      <c r="C37" s="44" t="str">
        <f t="shared" ref="C37:C68" si="1">IF($B37 = "", "", VLOOKUP($B37,Ind_Syn,2))</f>
        <v/>
      </c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  <c r="AI37" s="45"/>
      <c r="AJ37" s="45"/>
      <c r="AK37" s="45"/>
      <c r="AL37" s="45"/>
      <c r="AM37" s="45"/>
      <c r="AN37" s="45"/>
      <c r="AO37" s="45"/>
      <c r="AP37" s="45"/>
      <c r="AQ37" s="45"/>
      <c r="AR37" s="45"/>
      <c r="AS37" s="45"/>
      <c r="AT37" s="45"/>
      <c r="AU37" s="45"/>
      <c r="AV37" s="45"/>
      <c r="AW37" s="45"/>
      <c r="AX37" s="45"/>
      <c r="AY37" s="45"/>
      <c r="AZ37" s="45"/>
    </row>
    <row r="38" spans="2:52" x14ac:dyDescent="0.25">
      <c r="B38" s="41" t="str">
        <f>IF('Indice Plan'!$J36 = "", "", 'Indice Plan'!$J36)</f>
        <v/>
      </c>
      <c r="C38" s="44" t="str">
        <f t="shared" si="1"/>
        <v/>
      </c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5"/>
      <c r="AN38" s="45"/>
      <c r="AO38" s="45"/>
      <c r="AP38" s="45"/>
      <c r="AQ38" s="45"/>
      <c r="AR38" s="45"/>
      <c r="AS38" s="45"/>
      <c r="AT38" s="45"/>
      <c r="AU38" s="45"/>
      <c r="AV38" s="45"/>
      <c r="AW38" s="45"/>
      <c r="AX38" s="45"/>
      <c r="AY38" s="45"/>
      <c r="AZ38" s="45"/>
    </row>
    <row r="39" spans="2:52" x14ac:dyDescent="0.25">
      <c r="B39" s="41" t="str">
        <f>IF('Indice Plan'!$J37 = "", "", 'Indice Plan'!$J37)</f>
        <v/>
      </c>
      <c r="C39" s="44" t="str">
        <f t="shared" si="1"/>
        <v/>
      </c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5"/>
      <c r="AI39" s="45"/>
      <c r="AJ39" s="45"/>
      <c r="AK39" s="45"/>
      <c r="AL39" s="45"/>
      <c r="AM39" s="45"/>
      <c r="AN39" s="45"/>
      <c r="AO39" s="45"/>
      <c r="AP39" s="45"/>
      <c r="AQ39" s="45"/>
      <c r="AR39" s="45"/>
      <c r="AS39" s="45"/>
      <c r="AT39" s="45"/>
      <c r="AU39" s="45"/>
      <c r="AV39" s="45"/>
      <c r="AW39" s="45"/>
      <c r="AX39" s="45"/>
      <c r="AY39" s="45"/>
      <c r="AZ39" s="45"/>
    </row>
    <row r="40" spans="2:52" x14ac:dyDescent="0.25">
      <c r="B40" s="41" t="str">
        <f>IF('Indice Plan'!$J38 = "", "", 'Indice Plan'!$J38)</f>
        <v/>
      </c>
      <c r="C40" s="44" t="str">
        <f t="shared" si="1"/>
        <v/>
      </c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5"/>
      <c r="AI40" s="45"/>
      <c r="AJ40" s="45"/>
      <c r="AK40" s="45"/>
      <c r="AL40" s="45"/>
      <c r="AM40" s="45"/>
      <c r="AN40" s="45"/>
      <c r="AO40" s="45"/>
      <c r="AP40" s="45"/>
      <c r="AQ40" s="45"/>
      <c r="AR40" s="45"/>
      <c r="AS40" s="45"/>
      <c r="AT40" s="45"/>
      <c r="AU40" s="45"/>
      <c r="AV40" s="45"/>
      <c r="AW40" s="45"/>
      <c r="AX40" s="45"/>
      <c r="AY40" s="45"/>
      <c r="AZ40" s="45"/>
    </row>
    <row r="41" spans="2:52" x14ac:dyDescent="0.25">
      <c r="B41" s="41" t="str">
        <f>IF('Indice Plan'!$J39 = "", "", 'Indice Plan'!$J39)</f>
        <v/>
      </c>
      <c r="C41" s="44" t="str">
        <f t="shared" si="1"/>
        <v/>
      </c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5"/>
      <c r="AN41" s="45"/>
      <c r="AO41" s="45"/>
      <c r="AP41" s="45"/>
      <c r="AQ41" s="45"/>
      <c r="AR41" s="45"/>
      <c r="AS41" s="45"/>
      <c r="AT41" s="45"/>
      <c r="AU41" s="45"/>
      <c r="AV41" s="45"/>
      <c r="AW41" s="45"/>
      <c r="AX41" s="45"/>
      <c r="AY41" s="45"/>
      <c r="AZ41" s="45"/>
    </row>
    <row r="42" spans="2:52" x14ac:dyDescent="0.25">
      <c r="B42" s="41" t="str">
        <f>IF('Indice Plan'!$J40 = "", "", 'Indice Plan'!$J40)</f>
        <v/>
      </c>
      <c r="C42" s="44" t="str">
        <f t="shared" si="1"/>
        <v/>
      </c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5"/>
      <c r="AI42" s="45"/>
      <c r="AJ42" s="45"/>
      <c r="AK42" s="45"/>
      <c r="AL42" s="45"/>
      <c r="AM42" s="45"/>
      <c r="AN42" s="45"/>
      <c r="AO42" s="45"/>
      <c r="AP42" s="45"/>
      <c r="AQ42" s="45"/>
      <c r="AR42" s="45"/>
      <c r="AS42" s="45"/>
      <c r="AT42" s="45"/>
      <c r="AU42" s="45"/>
      <c r="AV42" s="45"/>
      <c r="AW42" s="45"/>
      <c r="AX42" s="45"/>
      <c r="AY42" s="45"/>
      <c r="AZ42" s="45"/>
    </row>
    <row r="43" spans="2:52" x14ac:dyDescent="0.25">
      <c r="B43" s="41" t="str">
        <f>IF('Indice Plan'!$J41 = "", "", 'Indice Plan'!$J41)</f>
        <v/>
      </c>
      <c r="C43" s="44" t="str">
        <f t="shared" si="1"/>
        <v/>
      </c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5"/>
      <c r="AI43" s="45"/>
      <c r="AJ43" s="45"/>
      <c r="AK43" s="45"/>
      <c r="AL43" s="45"/>
      <c r="AM43" s="45"/>
      <c r="AN43" s="45"/>
      <c r="AO43" s="45"/>
      <c r="AP43" s="45"/>
      <c r="AQ43" s="45"/>
      <c r="AR43" s="45"/>
      <c r="AS43" s="45"/>
      <c r="AT43" s="45"/>
      <c r="AU43" s="45"/>
      <c r="AV43" s="45"/>
      <c r="AW43" s="45"/>
      <c r="AX43" s="45"/>
      <c r="AY43" s="45"/>
      <c r="AZ43" s="45"/>
    </row>
    <row r="44" spans="2:52" x14ac:dyDescent="0.25">
      <c r="B44" s="41" t="str">
        <f>IF('Indice Plan'!$J42 = "", "", 'Indice Plan'!$J42)</f>
        <v/>
      </c>
      <c r="C44" s="44" t="str">
        <f t="shared" si="1"/>
        <v/>
      </c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  <c r="AP44" s="45"/>
      <c r="AQ44" s="45"/>
      <c r="AR44" s="45"/>
      <c r="AS44" s="45"/>
      <c r="AT44" s="45"/>
      <c r="AU44" s="45"/>
      <c r="AV44" s="45"/>
      <c r="AW44" s="45"/>
      <c r="AX44" s="45"/>
      <c r="AY44" s="45"/>
      <c r="AZ44" s="45"/>
    </row>
    <row r="45" spans="2:52" x14ac:dyDescent="0.25">
      <c r="B45" s="41" t="str">
        <f>IF('Indice Plan'!$J43 = "", "", 'Indice Plan'!$J43)</f>
        <v/>
      </c>
      <c r="C45" s="44" t="str">
        <f t="shared" si="1"/>
        <v/>
      </c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</row>
    <row r="46" spans="2:52" x14ac:dyDescent="0.25">
      <c r="B46" s="41" t="str">
        <f>IF('Indice Plan'!$J44 = "", "", 'Indice Plan'!$J44)</f>
        <v/>
      </c>
      <c r="C46" s="44" t="str">
        <f t="shared" si="1"/>
        <v/>
      </c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  <c r="AJ46" s="45"/>
      <c r="AK46" s="45"/>
      <c r="AL46" s="45"/>
      <c r="AM46" s="45"/>
      <c r="AN46" s="45"/>
      <c r="AO46" s="45"/>
      <c r="AP46" s="45"/>
      <c r="AQ46" s="45"/>
      <c r="AR46" s="45"/>
      <c r="AS46" s="45"/>
      <c r="AT46" s="45"/>
      <c r="AU46" s="45"/>
      <c r="AV46" s="45"/>
      <c r="AW46" s="45"/>
      <c r="AX46" s="45"/>
      <c r="AY46" s="45"/>
      <c r="AZ46" s="45"/>
    </row>
    <row r="47" spans="2:52" x14ac:dyDescent="0.25">
      <c r="B47" s="41" t="str">
        <f>IF('Indice Plan'!$J45 = "", "", 'Indice Plan'!$J45)</f>
        <v/>
      </c>
      <c r="C47" s="44" t="str">
        <f t="shared" si="1"/>
        <v/>
      </c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5"/>
      <c r="AI47" s="45"/>
      <c r="AJ47" s="45"/>
      <c r="AK47" s="45"/>
      <c r="AL47" s="45"/>
      <c r="AM47" s="45"/>
      <c r="AN47" s="45"/>
      <c r="AO47" s="45"/>
      <c r="AP47" s="45"/>
      <c r="AQ47" s="45"/>
      <c r="AR47" s="45"/>
      <c r="AS47" s="45"/>
      <c r="AT47" s="45"/>
      <c r="AU47" s="45"/>
      <c r="AV47" s="45"/>
      <c r="AW47" s="45"/>
      <c r="AX47" s="45"/>
      <c r="AY47" s="45"/>
      <c r="AZ47" s="45"/>
    </row>
    <row r="48" spans="2:52" x14ac:dyDescent="0.25">
      <c r="B48" s="41" t="str">
        <f>IF('Indice Plan'!$J46 = "", "", 'Indice Plan'!$J46)</f>
        <v/>
      </c>
      <c r="C48" s="44" t="str">
        <f t="shared" si="1"/>
        <v/>
      </c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  <c r="AG48" s="45"/>
      <c r="AH48" s="45"/>
      <c r="AI48" s="45"/>
      <c r="AJ48" s="45"/>
      <c r="AK48" s="45"/>
      <c r="AL48" s="45"/>
      <c r="AM48" s="45"/>
      <c r="AN48" s="45"/>
      <c r="AO48" s="45"/>
      <c r="AP48" s="45"/>
      <c r="AQ48" s="45"/>
      <c r="AR48" s="45"/>
      <c r="AS48" s="45"/>
      <c r="AT48" s="45"/>
      <c r="AU48" s="45"/>
      <c r="AV48" s="45"/>
      <c r="AW48" s="45"/>
      <c r="AX48" s="45"/>
      <c r="AY48" s="45"/>
      <c r="AZ48" s="45"/>
    </row>
    <row r="49" spans="2:52" x14ac:dyDescent="0.25">
      <c r="B49" s="41" t="str">
        <f>IF('Indice Plan'!$J47 = "", "", 'Indice Plan'!$J47)</f>
        <v/>
      </c>
      <c r="C49" s="44" t="str">
        <f t="shared" si="1"/>
        <v/>
      </c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5"/>
      <c r="AI49" s="45"/>
      <c r="AJ49" s="45"/>
      <c r="AK49" s="45"/>
      <c r="AL49" s="45"/>
      <c r="AM49" s="45"/>
      <c r="AN49" s="45"/>
      <c r="AO49" s="45"/>
      <c r="AP49" s="45"/>
      <c r="AQ49" s="45"/>
      <c r="AR49" s="45"/>
      <c r="AS49" s="45"/>
      <c r="AT49" s="45"/>
      <c r="AU49" s="45"/>
      <c r="AV49" s="45"/>
      <c r="AW49" s="45"/>
      <c r="AX49" s="45"/>
      <c r="AY49" s="45"/>
      <c r="AZ49" s="45"/>
    </row>
    <row r="50" spans="2:52" x14ac:dyDescent="0.25">
      <c r="B50" s="41" t="str">
        <f>IF('Indice Plan'!$J48 = "", "", 'Indice Plan'!$J48)</f>
        <v/>
      </c>
      <c r="C50" s="44" t="str">
        <f t="shared" si="1"/>
        <v/>
      </c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5"/>
      <c r="AM50" s="45"/>
      <c r="AN50" s="45"/>
      <c r="AO50" s="45"/>
      <c r="AP50" s="45"/>
      <c r="AQ50" s="45"/>
      <c r="AR50" s="45"/>
      <c r="AS50" s="45"/>
      <c r="AT50" s="45"/>
      <c r="AU50" s="45"/>
      <c r="AV50" s="45"/>
      <c r="AW50" s="45"/>
      <c r="AX50" s="45"/>
      <c r="AY50" s="45"/>
      <c r="AZ50" s="45"/>
    </row>
    <row r="51" spans="2:52" x14ac:dyDescent="0.25">
      <c r="B51" s="41" t="str">
        <f>IF('Indice Plan'!$J49 = "", "", 'Indice Plan'!$J49)</f>
        <v/>
      </c>
      <c r="C51" s="44" t="str">
        <f t="shared" si="1"/>
        <v/>
      </c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5"/>
      <c r="AX51" s="45"/>
      <c r="AY51" s="45"/>
      <c r="AZ51" s="45"/>
    </row>
    <row r="52" spans="2:52" x14ac:dyDescent="0.25">
      <c r="B52" s="41" t="str">
        <f>IF('Indice Plan'!$J50 = "", "", 'Indice Plan'!$J50)</f>
        <v/>
      </c>
      <c r="C52" s="44" t="str">
        <f t="shared" si="1"/>
        <v/>
      </c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45"/>
      <c r="AW52" s="45"/>
      <c r="AX52" s="45"/>
      <c r="AY52" s="45"/>
      <c r="AZ52" s="45"/>
    </row>
    <row r="53" spans="2:52" x14ac:dyDescent="0.25">
      <c r="B53" s="41" t="str">
        <f>IF('Indice Plan'!$J51 = "", "", 'Indice Plan'!$J51)</f>
        <v/>
      </c>
      <c r="C53" s="44" t="str">
        <f t="shared" si="1"/>
        <v/>
      </c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5"/>
      <c r="AX53" s="45"/>
      <c r="AY53" s="45"/>
      <c r="AZ53" s="45"/>
    </row>
    <row r="54" spans="2:52" x14ac:dyDescent="0.25">
      <c r="B54" s="41" t="str">
        <f>IF('Indice Plan'!$J52 = "", "", 'Indice Plan'!$J52)</f>
        <v/>
      </c>
      <c r="C54" s="44" t="str">
        <f t="shared" si="1"/>
        <v/>
      </c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5"/>
      <c r="AN54" s="45"/>
      <c r="AO54" s="45"/>
      <c r="AP54" s="45"/>
      <c r="AQ54" s="45"/>
      <c r="AR54" s="45"/>
      <c r="AS54" s="45"/>
      <c r="AT54" s="45"/>
      <c r="AU54" s="45"/>
      <c r="AV54" s="45"/>
      <c r="AW54" s="45"/>
      <c r="AX54" s="45"/>
      <c r="AY54" s="45"/>
      <c r="AZ54" s="45"/>
    </row>
    <row r="55" spans="2:52" x14ac:dyDescent="0.25">
      <c r="B55" s="41" t="str">
        <f>IF('Indice Plan'!$J53 = "", "", 'Indice Plan'!$J53)</f>
        <v/>
      </c>
      <c r="C55" s="44" t="str">
        <f t="shared" si="1"/>
        <v/>
      </c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</row>
    <row r="56" spans="2:52" x14ac:dyDescent="0.25">
      <c r="B56" s="41" t="str">
        <f>IF('Indice Plan'!$J54 = "", "", 'Indice Plan'!$J54)</f>
        <v/>
      </c>
      <c r="C56" s="44" t="str">
        <f t="shared" si="1"/>
        <v/>
      </c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</row>
    <row r="57" spans="2:52" x14ac:dyDescent="0.25">
      <c r="B57" s="41" t="str">
        <f>IF('Indice Plan'!$J55 = "", "", 'Indice Plan'!$J55)</f>
        <v/>
      </c>
      <c r="C57" s="44" t="str">
        <f t="shared" si="1"/>
        <v/>
      </c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  <c r="AX57" s="45"/>
      <c r="AY57" s="45"/>
      <c r="AZ57" s="45"/>
    </row>
    <row r="58" spans="2:52" x14ac:dyDescent="0.25">
      <c r="B58" s="41" t="str">
        <f>IF('Indice Plan'!$J56 = "", "", 'Indice Plan'!$J56)</f>
        <v/>
      </c>
      <c r="C58" s="44" t="str">
        <f t="shared" si="1"/>
        <v/>
      </c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  <c r="AX58" s="45"/>
      <c r="AY58" s="45"/>
      <c r="AZ58" s="45"/>
    </row>
    <row r="59" spans="2:52" x14ac:dyDescent="0.25">
      <c r="B59" s="41" t="str">
        <f>IF('Indice Plan'!$J57 = "", "", 'Indice Plan'!$J57)</f>
        <v/>
      </c>
      <c r="C59" s="44" t="str">
        <f t="shared" si="1"/>
        <v/>
      </c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  <c r="AX59" s="45"/>
      <c r="AY59" s="45"/>
      <c r="AZ59" s="45"/>
    </row>
    <row r="60" spans="2:52" x14ac:dyDescent="0.25">
      <c r="B60" s="41" t="str">
        <f>IF('Indice Plan'!$J58 = "", "", 'Indice Plan'!$J58)</f>
        <v/>
      </c>
      <c r="C60" s="44" t="str">
        <f t="shared" si="1"/>
        <v/>
      </c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  <c r="AX60" s="45"/>
      <c r="AY60" s="45"/>
      <c r="AZ60" s="45"/>
    </row>
    <row r="61" spans="2:52" x14ac:dyDescent="0.25">
      <c r="B61" s="41" t="str">
        <f>IF('Indice Plan'!$J59 = "", "", 'Indice Plan'!$J59)</f>
        <v/>
      </c>
      <c r="C61" s="44" t="str">
        <f t="shared" si="1"/>
        <v/>
      </c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45"/>
      <c r="AZ61" s="45"/>
    </row>
    <row r="62" spans="2:52" x14ac:dyDescent="0.25">
      <c r="B62" s="41" t="str">
        <f>IF('Indice Plan'!$J60 = "", "", 'Indice Plan'!$J60)</f>
        <v/>
      </c>
      <c r="C62" s="44" t="str">
        <f t="shared" si="1"/>
        <v/>
      </c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45"/>
      <c r="AZ62" s="45"/>
    </row>
    <row r="63" spans="2:52" x14ac:dyDescent="0.25">
      <c r="B63" s="41" t="str">
        <f>IF('Indice Plan'!$J61 = "", "", 'Indice Plan'!$J61)</f>
        <v/>
      </c>
      <c r="C63" s="44" t="str">
        <f t="shared" si="1"/>
        <v/>
      </c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</row>
    <row r="64" spans="2:52" x14ac:dyDescent="0.25">
      <c r="B64" s="41" t="str">
        <f>IF('Indice Plan'!$J62 = "", "", 'Indice Plan'!$J62)</f>
        <v/>
      </c>
      <c r="C64" s="44" t="str">
        <f t="shared" si="1"/>
        <v/>
      </c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45"/>
      <c r="AZ64" s="45"/>
    </row>
    <row r="65" spans="2:52" x14ac:dyDescent="0.25">
      <c r="B65" s="41" t="str">
        <f>IF('Indice Plan'!$J63 = "", "", 'Indice Plan'!$J63)</f>
        <v/>
      </c>
      <c r="C65" s="44" t="str">
        <f t="shared" si="1"/>
        <v/>
      </c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45"/>
      <c r="AZ65" s="45"/>
    </row>
    <row r="66" spans="2:52" x14ac:dyDescent="0.25">
      <c r="B66" s="41" t="str">
        <f>IF('Indice Plan'!$J64 = "", "", 'Indice Plan'!$J64)</f>
        <v/>
      </c>
      <c r="C66" s="44" t="str">
        <f t="shared" si="1"/>
        <v/>
      </c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  <c r="AZ66" s="45"/>
    </row>
    <row r="67" spans="2:52" x14ac:dyDescent="0.25">
      <c r="B67" s="41" t="str">
        <f>IF('Indice Plan'!$J65 = "", "", 'Indice Plan'!$J65)</f>
        <v/>
      </c>
      <c r="C67" s="44" t="str">
        <f t="shared" si="1"/>
        <v/>
      </c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  <c r="AK67" s="45"/>
      <c r="AL67" s="45"/>
      <c r="AM67" s="45"/>
      <c r="AN67" s="45"/>
      <c r="AO67" s="45"/>
      <c r="AP67" s="45"/>
      <c r="AQ67" s="45"/>
      <c r="AR67" s="45"/>
      <c r="AS67" s="45"/>
      <c r="AT67" s="45"/>
      <c r="AU67" s="45"/>
      <c r="AV67" s="45"/>
      <c r="AW67" s="45"/>
      <c r="AX67" s="45"/>
      <c r="AY67" s="45"/>
      <c r="AZ67" s="45"/>
    </row>
    <row r="68" spans="2:52" x14ac:dyDescent="0.25">
      <c r="B68" s="41" t="str">
        <f>IF('Indice Plan'!$J66 = "", "", 'Indice Plan'!$J66)</f>
        <v/>
      </c>
      <c r="C68" s="44" t="str">
        <f t="shared" si="1"/>
        <v/>
      </c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  <c r="AL68" s="45"/>
      <c r="AM68" s="45"/>
      <c r="AN68" s="45"/>
      <c r="AO68" s="45"/>
      <c r="AP68" s="45"/>
      <c r="AQ68" s="45"/>
      <c r="AR68" s="45"/>
      <c r="AS68" s="45"/>
      <c r="AT68" s="45"/>
      <c r="AU68" s="45"/>
      <c r="AV68" s="45"/>
      <c r="AW68" s="45"/>
      <c r="AX68" s="45"/>
      <c r="AY68" s="45"/>
      <c r="AZ68" s="45"/>
    </row>
    <row r="69" spans="2:52" x14ac:dyDescent="0.25">
      <c r="B69" s="41" t="str">
        <f>IF('Indice Plan'!$J67 = "", "", 'Indice Plan'!$J67)</f>
        <v/>
      </c>
      <c r="C69" s="44" t="str">
        <f t="shared" ref="C69:C100" si="2">IF($B69 = "", "", VLOOKUP($B69,Ind_Syn,2))</f>
        <v/>
      </c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  <c r="AZ69" s="45"/>
    </row>
    <row r="70" spans="2:52" x14ac:dyDescent="0.25">
      <c r="B70" s="41" t="str">
        <f>IF('Indice Plan'!$J68 = "", "", 'Indice Plan'!$J68)</f>
        <v/>
      </c>
      <c r="C70" s="44" t="str">
        <f t="shared" si="2"/>
        <v/>
      </c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  <c r="AZ70" s="45"/>
    </row>
    <row r="71" spans="2:52" x14ac:dyDescent="0.25">
      <c r="B71" s="41" t="str">
        <f>IF('Indice Plan'!$J69 = "", "", 'Indice Plan'!$J69)</f>
        <v/>
      </c>
      <c r="C71" s="44" t="str">
        <f t="shared" si="2"/>
        <v/>
      </c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</row>
    <row r="72" spans="2:52" x14ac:dyDescent="0.25">
      <c r="B72" s="41" t="str">
        <f>IF('Indice Plan'!$J70 = "", "", 'Indice Plan'!$J70)</f>
        <v/>
      </c>
      <c r="C72" s="44" t="str">
        <f t="shared" si="2"/>
        <v/>
      </c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</row>
    <row r="73" spans="2:52" x14ac:dyDescent="0.25">
      <c r="B73" s="41" t="str">
        <f>IF('Indice Plan'!$J71 = "", "", 'Indice Plan'!$J71)</f>
        <v/>
      </c>
      <c r="C73" s="44" t="str">
        <f t="shared" si="2"/>
        <v/>
      </c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  <c r="AZ73" s="45"/>
    </row>
    <row r="74" spans="2:52" x14ac:dyDescent="0.25">
      <c r="B74" s="41" t="str">
        <f>IF('Indice Plan'!$J72 = "", "", 'Indice Plan'!$J72)</f>
        <v/>
      </c>
      <c r="C74" s="44" t="str">
        <f t="shared" si="2"/>
        <v/>
      </c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  <c r="AL74" s="45"/>
      <c r="AM74" s="45"/>
      <c r="AN74" s="45"/>
      <c r="AO74" s="45"/>
      <c r="AP74" s="45"/>
      <c r="AQ74" s="45"/>
      <c r="AR74" s="45"/>
      <c r="AS74" s="45"/>
      <c r="AT74" s="45"/>
      <c r="AU74" s="45"/>
      <c r="AV74" s="45"/>
      <c r="AW74" s="45"/>
      <c r="AX74" s="45"/>
      <c r="AY74" s="45"/>
      <c r="AZ74" s="45"/>
    </row>
    <row r="75" spans="2:52" x14ac:dyDescent="0.25">
      <c r="B75" s="41" t="str">
        <f>IF('Indice Plan'!$J73 = "", "", 'Indice Plan'!$J73)</f>
        <v/>
      </c>
      <c r="C75" s="44" t="str">
        <f t="shared" si="2"/>
        <v/>
      </c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  <c r="AL75" s="45"/>
      <c r="AM75" s="45"/>
      <c r="AN75" s="45"/>
      <c r="AO75" s="45"/>
      <c r="AP75" s="45"/>
      <c r="AQ75" s="45"/>
      <c r="AR75" s="45"/>
      <c r="AS75" s="45"/>
      <c r="AT75" s="45"/>
      <c r="AU75" s="45"/>
      <c r="AV75" s="45"/>
      <c r="AW75" s="45"/>
      <c r="AX75" s="45"/>
      <c r="AY75" s="45"/>
      <c r="AZ75" s="45"/>
    </row>
    <row r="76" spans="2:52" x14ac:dyDescent="0.25">
      <c r="B76" s="41" t="str">
        <f>IF('Indice Plan'!$J74 = "", "", 'Indice Plan'!$J74)</f>
        <v/>
      </c>
      <c r="C76" s="44" t="str">
        <f t="shared" si="2"/>
        <v/>
      </c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  <c r="AL76" s="45"/>
      <c r="AM76" s="45"/>
      <c r="AN76" s="45"/>
      <c r="AO76" s="45"/>
      <c r="AP76" s="45"/>
      <c r="AQ76" s="45"/>
      <c r="AR76" s="45"/>
      <c r="AS76" s="45"/>
      <c r="AT76" s="45"/>
      <c r="AU76" s="45"/>
      <c r="AV76" s="45"/>
      <c r="AW76" s="45"/>
      <c r="AX76" s="45"/>
      <c r="AY76" s="45"/>
      <c r="AZ76" s="45"/>
    </row>
    <row r="77" spans="2:52" x14ac:dyDescent="0.25">
      <c r="B77" s="41" t="str">
        <f>IF('Indice Plan'!$J75 = "", "", 'Indice Plan'!$J75)</f>
        <v/>
      </c>
      <c r="C77" s="44" t="str">
        <f t="shared" si="2"/>
        <v/>
      </c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  <c r="AJ77" s="45"/>
      <c r="AK77" s="45"/>
      <c r="AL77" s="45"/>
      <c r="AM77" s="45"/>
      <c r="AN77" s="45"/>
      <c r="AO77" s="45"/>
      <c r="AP77" s="45"/>
      <c r="AQ77" s="45"/>
      <c r="AR77" s="45"/>
      <c r="AS77" s="45"/>
      <c r="AT77" s="45"/>
      <c r="AU77" s="45"/>
      <c r="AV77" s="45"/>
      <c r="AW77" s="45"/>
      <c r="AX77" s="45"/>
      <c r="AY77" s="45"/>
      <c r="AZ77" s="45"/>
    </row>
    <row r="78" spans="2:52" x14ac:dyDescent="0.25">
      <c r="B78" s="41" t="str">
        <f>IF('Indice Plan'!$J76 = "", "", 'Indice Plan'!$J76)</f>
        <v/>
      </c>
      <c r="C78" s="44" t="str">
        <f t="shared" si="2"/>
        <v/>
      </c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  <c r="AL78" s="45"/>
      <c r="AM78" s="45"/>
      <c r="AN78" s="45"/>
      <c r="AO78" s="45"/>
      <c r="AP78" s="45"/>
      <c r="AQ78" s="45"/>
      <c r="AR78" s="45"/>
      <c r="AS78" s="45"/>
      <c r="AT78" s="45"/>
      <c r="AU78" s="45"/>
      <c r="AV78" s="45"/>
      <c r="AW78" s="45"/>
      <c r="AX78" s="45"/>
      <c r="AY78" s="45"/>
      <c r="AZ78" s="45"/>
    </row>
    <row r="79" spans="2:52" x14ac:dyDescent="0.25">
      <c r="B79" s="41" t="str">
        <f>IF('Indice Plan'!$J77 = "", "", 'Indice Plan'!$J77)</f>
        <v/>
      </c>
      <c r="C79" s="44" t="str">
        <f t="shared" si="2"/>
        <v/>
      </c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  <c r="AL79" s="45"/>
      <c r="AM79" s="45"/>
      <c r="AN79" s="45"/>
      <c r="AO79" s="45"/>
      <c r="AP79" s="45"/>
      <c r="AQ79" s="45"/>
      <c r="AR79" s="45"/>
      <c r="AS79" s="45"/>
      <c r="AT79" s="45"/>
      <c r="AU79" s="45"/>
      <c r="AV79" s="45"/>
      <c r="AW79" s="45"/>
      <c r="AX79" s="45"/>
      <c r="AY79" s="45"/>
      <c r="AZ79" s="45"/>
    </row>
    <row r="80" spans="2:52" x14ac:dyDescent="0.25">
      <c r="B80" s="41" t="str">
        <f>IF('Indice Plan'!$J78 = "", "", 'Indice Plan'!$J78)</f>
        <v/>
      </c>
      <c r="C80" s="44" t="str">
        <f t="shared" si="2"/>
        <v/>
      </c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  <c r="AJ80" s="45"/>
      <c r="AK80" s="45"/>
      <c r="AL80" s="45"/>
      <c r="AM80" s="45"/>
      <c r="AN80" s="45"/>
      <c r="AO80" s="45"/>
      <c r="AP80" s="45"/>
      <c r="AQ80" s="45"/>
      <c r="AR80" s="45"/>
      <c r="AS80" s="45"/>
      <c r="AT80" s="45"/>
      <c r="AU80" s="45"/>
      <c r="AV80" s="45"/>
      <c r="AW80" s="45"/>
      <c r="AX80" s="45"/>
      <c r="AY80" s="45"/>
      <c r="AZ80" s="45"/>
    </row>
    <row r="81" spans="2:52" x14ac:dyDescent="0.25">
      <c r="B81" s="41" t="str">
        <f>IF('Indice Plan'!$J79 = "", "", 'Indice Plan'!$J79)</f>
        <v/>
      </c>
      <c r="C81" s="44" t="str">
        <f t="shared" si="2"/>
        <v/>
      </c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  <c r="AJ81" s="45"/>
      <c r="AK81" s="45"/>
      <c r="AL81" s="45"/>
      <c r="AM81" s="45"/>
      <c r="AN81" s="45"/>
      <c r="AO81" s="45"/>
      <c r="AP81" s="45"/>
      <c r="AQ81" s="45"/>
      <c r="AR81" s="45"/>
      <c r="AS81" s="45"/>
      <c r="AT81" s="45"/>
      <c r="AU81" s="45"/>
      <c r="AV81" s="45"/>
      <c r="AW81" s="45"/>
      <c r="AX81" s="45"/>
      <c r="AY81" s="45"/>
      <c r="AZ81" s="45"/>
    </row>
    <row r="82" spans="2:52" x14ac:dyDescent="0.25">
      <c r="B82" s="41" t="str">
        <f>IF('Indice Plan'!$J80 = "", "", 'Indice Plan'!$J80)</f>
        <v/>
      </c>
      <c r="C82" s="44" t="str">
        <f t="shared" si="2"/>
        <v/>
      </c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5"/>
      <c r="AI82" s="45"/>
      <c r="AJ82" s="45"/>
      <c r="AK82" s="45"/>
      <c r="AL82" s="45"/>
      <c r="AM82" s="45"/>
      <c r="AN82" s="45"/>
      <c r="AO82" s="45"/>
      <c r="AP82" s="45"/>
      <c r="AQ82" s="45"/>
      <c r="AR82" s="45"/>
      <c r="AS82" s="45"/>
      <c r="AT82" s="45"/>
      <c r="AU82" s="45"/>
      <c r="AV82" s="45"/>
      <c r="AW82" s="45"/>
      <c r="AX82" s="45"/>
      <c r="AY82" s="45"/>
      <c r="AZ82" s="45"/>
    </row>
    <row r="83" spans="2:52" x14ac:dyDescent="0.25">
      <c r="B83" s="41" t="str">
        <f>IF('Indice Plan'!$J81 = "", "", 'Indice Plan'!$J81)</f>
        <v/>
      </c>
      <c r="C83" s="44" t="str">
        <f t="shared" si="2"/>
        <v/>
      </c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5"/>
      <c r="AI83" s="45"/>
      <c r="AJ83" s="45"/>
      <c r="AK83" s="45"/>
      <c r="AL83" s="45"/>
      <c r="AM83" s="45"/>
      <c r="AN83" s="45"/>
      <c r="AO83" s="45"/>
      <c r="AP83" s="45"/>
      <c r="AQ83" s="45"/>
      <c r="AR83" s="45"/>
      <c r="AS83" s="45"/>
      <c r="AT83" s="45"/>
      <c r="AU83" s="45"/>
      <c r="AV83" s="45"/>
      <c r="AW83" s="45"/>
      <c r="AX83" s="45"/>
      <c r="AY83" s="45"/>
      <c r="AZ83" s="45"/>
    </row>
    <row r="84" spans="2:52" x14ac:dyDescent="0.25">
      <c r="B84" s="41" t="str">
        <f>IF('Indice Plan'!$J82 = "", "", 'Indice Plan'!$J82)</f>
        <v/>
      </c>
      <c r="C84" s="44" t="str">
        <f t="shared" si="2"/>
        <v/>
      </c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5"/>
      <c r="AI84" s="45"/>
      <c r="AJ84" s="45"/>
      <c r="AK84" s="45"/>
      <c r="AL84" s="45"/>
      <c r="AM84" s="45"/>
      <c r="AN84" s="45"/>
      <c r="AO84" s="45"/>
      <c r="AP84" s="45"/>
      <c r="AQ84" s="45"/>
      <c r="AR84" s="45"/>
      <c r="AS84" s="45"/>
      <c r="AT84" s="45"/>
      <c r="AU84" s="45"/>
      <c r="AV84" s="45"/>
      <c r="AW84" s="45"/>
      <c r="AX84" s="45"/>
      <c r="AY84" s="45"/>
      <c r="AZ84" s="45"/>
    </row>
    <row r="85" spans="2:52" x14ac:dyDescent="0.25">
      <c r="B85" s="41" t="str">
        <f>IF('Indice Plan'!$J83 = "", "", 'Indice Plan'!$J83)</f>
        <v/>
      </c>
      <c r="C85" s="44" t="str">
        <f t="shared" si="2"/>
        <v/>
      </c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5"/>
      <c r="AI85" s="45"/>
      <c r="AJ85" s="45"/>
      <c r="AK85" s="45"/>
      <c r="AL85" s="45"/>
      <c r="AM85" s="45"/>
      <c r="AN85" s="45"/>
      <c r="AO85" s="45"/>
      <c r="AP85" s="45"/>
      <c r="AQ85" s="45"/>
      <c r="AR85" s="45"/>
      <c r="AS85" s="45"/>
      <c r="AT85" s="45"/>
      <c r="AU85" s="45"/>
      <c r="AV85" s="45"/>
      <c r="AW85" s="45"/>
      <c r="AX85" s="45"/>
      <c r="AY85" s="45"/>
      <c r="AZ85" s="45"/>
    </row>
    <row r="86" spans="2:52" x14ac:dyDescent="0.25">
      <c r="B86" s="41" t="str">
        <f>IF('Indice Plan'!$J84 = "", "", 'Indice Plan'!$J84)</f>
        <v/>
      </c>
      <c r="C86" s="44" t="str">
        <f t="shared" si="2"/>
        <v/>
      </c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5"/>
      <c r="AI86" s="45"/>
      <c r="AJ86" s="45"/>
      <c r="AK86" s="45"/>
      <c r="AL86" s="45"/>
      <c r="AM86" s="45"/>
      <c r="AN86" s="45"/>
      <c r="AO86" s="45"/>
      <c r="AP86" s="45"/>
      <c r="AQ86" s="45"/>
      <c r="AR86" s="45"/>
      <c r="AS86" s="45"/>
      <c r="AT86" s="45"/>
      <c r="AU86" s="45"/>
      <c r="AV86" s="45"/>
      <c r="AW86" s="45"/>
      <c r="AX86" s="45"/>
      <c r="AY86" s="45"/>
      <c r="AZ86" s="45"/>
    </row>
    <row r="87" spans="2:52" x14ac:dyDescent="0.25">
      <c r="B87" s="41" t="str">
        <f>IF('Indice Plan'!$J85 = "", "", 'Indice Plan'!$J85)</f>
        <v/>
      </c>
      <c r="C87" s="44" t="str">
        <f t="shared" si="2"/>
        <v/>
      </c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5"/>
      <c r="AI87" s="45"/>
      <c r="AJ87" s="45"/>
      <c r="AK87" s="45"/>
      <c r="AL87" s="45"/>
      <c r="AM87" s="45"/>
      <c r="AN87" s="45"/>
      <c r="AO87" s="45"/>
      <c r="AP87" s="45"/>
      <c r="AQ87" s="45"/>
      <c r="AR87" s="45"/>
      <c r="AS87" s="45"/>
      <c r="AT87" s="45"/>
      <c r="AU87" s="45"/>
      <c r="AV87" s="45"/>
      <c r="AW87" s="45"/>
      <c r="AX87" s="45"/>
      <c r="AY87" s="45"/>
      <c r="AZ87" s="45"/>
    </row>
    <row r="88" spans="2:52" x14ac:dyDescent="0.25">
      <c r="B88" s="41" t="str">
        <f>IF('Indice Plan'!$J86 = "", "", 'Indice Plan'!$J86)</f>
        <v/>
      </c>
      <c r="C88" s="44" t="str">
        <f t="shared" si="2"/>
        <v/>
      </c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5"/>
      <c r="AI88" s="45"/>
      <c r="AJ88" s="45"/>
      <c r="AK88" s="45"/>
      <c r="AL88" s="45"/>
      <c r="AM88" s="45"/>
      <c r="AN88" s="45"/>
      <c r="AO88" s="45"/>
      <c r="AP88" s="45"/>
      <c r="AQ88" s="45"/>
      <c r="AR88" s="45"/>
      <c r="AS88" s="45"/>
      <c r="AT88" s="45"/>
      <c r="AU88" s="45"/>
      <c r="AV88" s="45"/>
      <c r="AW88" s="45"/>
      <c r="AX88" s="45"/>
      <c r="AY88" s="45"/>
      <c r="AZ88" s="45"/>
    </row>
    <row r="89" spans="2:52" x14ac:dyDescent="0.25">
      <c r="B89" s="41" t="str">
        <f>IF('Indice Plan'!$J87 = "", "", 'Indice Plan'!$J87)</f>
        <v/>
      </c>
      <c r="C89" s="44" t="str">
        <f t="shared" si="2"/>
        <v/>
      </c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5"/>
      <c r="AI89" s="45"/>
      <c r="AJ89" s="45"/>
      <c r="AK89" s="45"/>
      <c r="AL89" s="45"/>
      <c r="AM89" s="45"/>
      <c r="AN89" s="45"/>
      <c r="AO89" s="45"/>
      <c r="AP89" s="45"/>
      <c r="AQ89" s="45"/>
      <c r="AR89" s="45"/>
      <c r="AS89" s="45"/>
      <c r="AT89" s="45"/>
      <c r="AU89" s="45"/>
      <c r="AV89" s="45"/>
      <c r="AW89" s="45"/>
      <c r="AX89" s="45"/>
      <c r="AY89" s="45"/>
      <c r="AZ89" s="45"/>
    </row>
    <row r="90" spans="2:52" x14ac:dyDescent="0.25">
      <c r="B90" s="41" t="str">
        <f>IF('Indice Plan'!$J88 = "", "", 'Indice Plan'!$J88)</f>
        <v/>
      </c>
      <c r="C90" s="44" t="str">
        <f t="shared" si="2"/>
        <v/>
      </c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5"/>
      <c r="AI90" s="45"/>
      <c r="AJ90" s="45"/>
      <c r="AK90" s="45"/>
      <c r="AL90" s="45"/>
      <c r="AM90" s="45"/>
      <c r="AN90" s="45"/>
      <c r="AO90" s="45"/>
      <c r="AP90" s="45"/>
      <c r="AQ90" s="45"/>
      <c r="AR90" s="45"/>
      <c r="AS90" s="45"/>
      <c r="AT90" s="45"/>
      <c r="AU90" s="45"/>
      <c r="AV90" s="45"/>
      <c r="AW90" s="45"/>
      <c r="AX90" s="45"/>
      <c r="AY90" s="45"/>
      <c r="AZ90" s="45"/>
    </row>
    <row r="91" spans="2:52" x14ac:dyDescent="0.25">
      <c r="B91" s="41" t="str">
        <f>IF('Indice Plan'!$J89 = "", "", 'Indice Plan'!$J89)</f>
        <v/>
      </c>
      <c r="C91" s="44" t="str">
        <f t="shared" si="2"/>
        <v/>
      </c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5"/>
      <c r="AI91" s="45"/>
      <c r="AJ91" s="45"/>
      <c r="AK91" s="45"/>
      <c r="AL91" s="45"/>
      <c r="AM91" s="45"/>
      <c r="AN91" s="45"/>
      <c r="AO91" s="45"/>
      <c r="AP91" s="45"/>
      <c r="AQ91" s="45"/>
      <c r="AR91" s="45"/>
      <c r="AS91" s="45"/>
      <c r="AT91" s="45"/>
      <c r="AU91" s="45"/>
      <c r="AV91" s="45"/>
      <c r="AW91" s="45"/>
      <c r="AX91" s="45"/>
      <c r="AY91" s="45"/>
      <c r="AZ91" s="45"/>
    </row>
    <row r="92" spans="2:52" x14ac:dyDescent="0.25">
      <c r="B92" s="41" t="str">
        <f>IF('Indice Plan'!$J90 = "", "", 'Indice Plan'!$J90)</f>
        <v/>
      </c>
      <c r="C92" s="44" t="str">
        <f t="shared" si="2"/>
        <v/>
      </c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5"/>
      <c r="AI92" s="45"/>
      <c r="AJ92" s="45"/>
      <c r="AK92" s="45"/>
      <c r="AL92" s="45"/>
      <c r="AM92" s="45"/>
      <c r="AN92" s="45"/>
      <c r="AO92" s="45"/>
      <c r="AP92" s="45"/>
      <c r="AQ92" s="45"/>
      <c r="AR92" s="45"/>
      <c r="AS92" s="45"/>
      <c r="AT92" s="45"/>
      <c r="AU92" s="45"/>
      <c r="AV92" s="45"/>
      <c r="AW92" s="45"/>
      <c r="AX92" s="45"/>
      <c r="AY92" s="45"/>
      <c r="AZ92" s="45"/>
    </row>
    <row r="93" spans="2:52" x14ac:dyDescent="0.25">
      <c r="B93" s="41" t="str">
        <f>IF('Indice Plan'!$J91 = "", "", 'Indice Plan'!$J91)</f>
        <v/>
      </c>
      <c r="C93" s="44" t="str">
        <f t="shared" si="2"/>
        <v/>
      </c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  <c r="AL93" s="45"/>
      <c r="AM93" s="45"/>
      <c r="AN93" s="45"/>
      <c r="AO93" s="45"/>
      <c r="AP93" s="45"/>
      <c r="AQ93" s="45"/>
      <c r="AR93" s="45"/>
      <c r="AS93" s="45"/>
      <c r="AT93" s="45"/>
      <c r="AU93" s="45"/>
      <c r="AV93" s="45"/>
      <c r="AW93" s="45"/>
      <c r="AX93" s="45"/>
      <c r="AY93" s="45"/>
      <c r="AZ93" s="45"/>
    </row>
    <row r="94" spans="2:52" x14ac:dyDescent="0.25">
      <c r="B94" s="41" t="str">
        <f>IF('Indice Plan'!$J92 = "", "", 'Indice Plan'!$J92)</f>
        <v/>
      </c>
      <c r="C94" s="44" t="str">
        <f t="shared" si="2"/>
        <v/>
      </c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5"/>
      <c r="AI94" s="45"/>
      <c r="AJ94" s="45"/>
      <c r="AK94" s="45"/>
      <c r="AL94" s="45"/>
      <c r="AM94" s="45"/>
      <c r="AN94" s="45"/>
      <c r="AO94" s="45"/>
      <c r="AP94" s="45"/>
      <c r="AQ94" s="45"/>
      <c r="AR94" s="45"/>
      <c r="AS94" s="45"/>
      <c r="AT94" s="45"/>
      <c r="AU94" s="45"/>
      <c r="AV94" s="45"/>
      <c r="AW94" s="45"/>
      <c r="AX94" s="45"/>
      <c r="AY94" s="45"/>
      <c r="AZ94" s="45"/>
    </row>
    <row r="95" spans="2:52" x14ac:dyDescent="0.25">
      <c r="B95" s="41" t="str">
        <f>IF('Indice Plan'!$J93 = "", "", 'Indice Plan'!$J93)</f>
        <v/>
      </c>
      <c r="C95" s="44" t="str">
        <f t="shared" si="2"/>
        <v/>
      </c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45"/>
      <c r="AJ95" s="45"/>
      <c r="AK95" s="45"/>
      <c r="AL95" s="45"/>
      <c r="AM95" s="45"/>
      <c r="AN95" s="45"/>
      <c r="AO95" s="45"/>
      <c r="AP95" s="45"/>
      <c r="AQ95" s="45"/>
      <c r="AR95" s="45"/>
      <c r="AS95" s="45"/>
      <c r="AT95" s="45"/>
      <c r="AU95" s="45"/>
      <c r="AV95" s="45"/>
      <c r="AW95" s="45"/>
      <c r="AX95" s="45"/>
      <c r="AY95" s="45"/>
      <c r="AZ95" s="45"/>
    </row>
    <row r="96" spans="2:52" x14ac:dyDescent="0.25">
      <c r="B96" s="41" t="str">
        <f>IF('Indice Plan'!$J94 = "", "", 'Indice Plan'!$J94)</f>
        <v/>
      </c>
      <c r="C96" s="44" t="str">
        <f t="shared" si="2"/>
        <v/>
      </c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45"/>
      <c r="AJ96" s="45"/>
      <c r="AK96" s="45"/>
      <c r="AL96" s="45"/>
      <c r="AM96" s="45"/>
      <c r="AN96" s="45"/>
      <c r="AO96" s="45"/>
      <c r="AP96" s="45"/>
      <c r="AQ96" s="45"/>
      <c r="AR96" s="45"/>
      <c r="AS96" s="45"/>
      <c r="AT96" s="45"/>
      <c r="AU96" s="45"/>
      <c r="AV96" s="45"/>
      <c r="AW96" s="45"/>
      <c r="AX96" s="45"/>
      <c r="AY96" s="45"/>
      <c r="AZ96" s="45"/>
    </row>
    <row r="97" spans="2:52" x14ac:dyDescent="0.25">
      <c r="B97" s="41" t="str">
        <f>IF('Indice Plan'!$J95 = "", "", 'Indice Plan'!$J95)</f>
        <v/>
      </c>
      <c r="C97" s="44" t="str">
        <f t="shared" si="2"/>
        <v/>
      </c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45"/>
      <c r="AJ97" s="45"/>
      <c r="AK97" s="45"/>
      <c r="AL97" s="45"/>
      <c r="AM97" s="45"/>
      <c r="AN97" s="45"/>
      <c r="AO97" s="45"/>
      <c r="AP97" s="45"/>
      <c r="AQ97" s="45"/>
      <c r="AR97" s="45"/>
      <c r="AS97" s="45"/>
      <c r="AT97" s="45"/>
      <c r="AU97" s="45"/>
      <c r="AV97" s="45"/>
      <c r="AW97" s="45"/>
      <c r="AX97" s="45"/>
      <c r="AY97" s="45"/>
      <c r="AZ97" s="45"/>
    </row>
    <row r="98" spans="2:52" x14ac:dyDescent="0.25">
      <c r="B98" s="41" t="str">
        <f>IF('Indice Plan'!$J96 = "", "", 'Indice Plan'!$J96)</f>
        <v/>
      </c>
      <c r="C98" s="44" t="str">
        <f t="shared" si="2"/>
        <v/>
      </c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5"/>
      <c r="AI98" s="45"/>
      <c r="AJ98" s="45"/>
      <c r="AK98" s="45"/>
      <c r="AL98" s="45"/>
      <c r="AM98" s="45"/>
      <c r="AN98" s="45"/>
      <c r="AO98" s="45"/>
      <c r="AP98" s="45"/>
      <c r="AQ98" s="45"/>
      <c r="AR98" s="45"/>
      <c r="AS98" s="45"/>
      <c r="AT98" s="45"/>
      <c r="AU98" s="45"/>
      <c r="AV98" s="45"/>
      <c r="AW98" s="45"/>
      <c r="AX98" s="45"/>
      <c r="AY98" s="45"/>
      <c r="AZ98" s="45"/>
    </row>
    <row r="99" spans="2:52" x14ac:dyDescent="0.25">
      <c r="B99" s="41" t="str">
        <f>IF('Indice Plan'!$J97 = "", "", 'Indice Plan'!$J97)</f>
        <v/>
      </c>
      <c r="C99" s="44" t="str">
        <f t="shared" si="2"/>
        <v/>
      </c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</row>
    <row r="100" spans="2:52" x14ac:dyDescent="0.25">
      <c r="B100" s="41" t="str">
        <f>IF('Indice Plan'!$J98 = "", "", 'Indice Plan'!$J98)</f>
        <v/>
      </c>
      <c r="C100" s="44" t="str">
        <f t="shared" si="2"/>
        <v/>
      </c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5"/>
      <c r="AI100" s="45"/>
      <c r="AJ100" s="45"/>
      <c r="AK100" s="45"/>
      <c r="AL100" s="45"/>
      <c r="AM100" s="45"/>
      <c r="AN100" s="45"/>
      <c r="AO100" s="45"/>
      <c r="AP100" s="45"/>
      <c r="AQ100" s="45"/>
      <c r="AR100" s="45"/>
      <c r="AS100" s="45"/>
      <c r="AT100" s="45"/>
      <c r="AU100" s="45"/>
      <c r="AV100" s="45"/>
      <c r="AW100" s="45"/>
      <c r="AX100" s="45"/>
      <c r="AY100" s="45"/>
      <c r="AZ100" s="45"/>
    </row>
  </sheetData>
  <sortState ref="D5:AZ5">
    <sortCondition ref="D5"/>
  </sortState>
  <mergeCells count="2">
    <mergeCell ref="D4:AZ4"/>
    <mergeCell ref="B1:D2"/>
  </mergeCells>
  <conditionalFormatting sqref="D5:AZ100">
    <cfRule type="containsBlanks" dxfId="2" priority="1">
      <formula>LEN(TRIM(D5))=0</formula>
    </cfRule>
  </conditionalFormatting>
  <conditionalFormatting sqref="B5:C100">
    <cfRule type="containsBlanks" dxfId="1" priority="2">
      <formula>LEN(TRIM(B5))=0</formula>
    </cfRule>
  </conditionalFormatting>
  <dataValidations count="2">
    <dataValidation type="list" allowBlank="1" showInputMessage="1" showErrorMessage="1" sqref="BA5:DZ100" xr:uid="{932B9EF4-E1D7-4D7A-BA05-510F94EEBA43}">
      <formula1>List_Toiture</formula1>
    </dataValidation>
    <dataValidation type="list" allowBlank="1" showInputMessage="1" showErrorMessage="1" sqref="D5:AZ100" xr:uid="{72DF8B8B-45E0-4ACA-872D-2724136B89F7}">
      <formula1>List_Synoptique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D0462-AF68-4AAE-B108-09A97AFB72F1}">
  <sheetPr codeName="Feuil8"/>
  <dimension ref="B2:D257"/>
  <sheetViews>
    <sheetView showGridLines="0" workbookViewId="0">
      <selection activeCell="D225" sqref="D225"/>
    </sheetView>
  </sheetViews>
  <sheetFormatPr baseColWidth="10" defaultRowHeight="15" x14ac:dyDescent="0.25"/>
  <cols>
    <col min="1" max="1" width="2.85546875" style="2" customWidth="1"/>
    <col min="2" max="2" width="11.42578125" style="2"/>
    <col min="3" max="3" width="17.140625" style="2" customWidth="1"/>
    <col min="4" max="4" width="21.42578125" style="2" customWidth="1"/>
    <col min="5" max="16384" width="11.42578125" style="2"/>
  </cols>
  <sheetData>
    <row r="2" spans="2:4" ht="22.5" customHeight="1" x14ac:dyDescent="0.25">
      <c r="B2" s="96" t="s">
        <v>253</v>
      </c>
      <c r="C2" s="97"/>
      <c r="D2" s="68" t="s">
        <v>254</v>
      </c>
    </row>
    <row r="3" spans="2:4" x14ac:dyDescent="0.25">
      <c r="B3" s="2">
        <v>1</v>
      </c>
      <c r="C3" s="2" t="s">
        <v>291</v>
      </c>
      <c r="D3" s="81" t="s">
        <v>255</v>
      </c>
    </row>
    <row r="4" spans="2:4" x14ac:dyDescent="0.25">
      <c r="B4" s="2">
        <v>2</v>
      </c>
      <c r="C4" s="2" t="s">
        <v>292</v>
      </c>
      <c r="D4" s="81" t="s">
        <v>282</v>
      </c>
    </row>
    <row r="5" spans="2:4" x14ac:dyDescent="0.25">
      <c r="B5" s="2">
        <v>3</v>
      </c>
      <c r="C5" s="2" t="s">
        <v>293</v>
      </c>
      <c r="D5" s="81" t="s">
        <v>285</v>
      </c>
    </row>
    <row r="6" spans="2:4" x14ac:dyDescent="0.25">
      <c r="B6" s="2">
        <v>4</v>
      </c>
      <c r="C6" s="2" t="s">
        <v>294</v>
      </c>
      <c r="D6" s="81" t="s">
        <v>284</v>
      </c>
    </row>
    <row r="7" spans="2:4" x14ac:dyDescent="0.25">
      <c r="B7" s="2">
        <v>5</v>
      </c>
      <c r="C7" s="2" t="s">
        <v>295</v>
      </c>
      <c r="D7" s="81" t="s">
        <v>422</v>
      </c>
    </row>
    <row r="8" spans="2:4" x14ac:dyDescent="0.25">
      <c r="B8" s="2">
        <v>6</v>
      </c>
      <c r="C8" s="2" t="s">
        <v>296</v>
      </c>
      <c r="D8" s="81" t="s">
        <v>281</v>
      </c>
    </row>
    <row r="9" spans="2:4" x14ac:dyDescent="0.25">
      <c r="B9" s="2">
        <v>7</v>
      </c>
      <c r="C9" s="2" t="s">
        <v>301</v>
      </c>
      <c r="D9" s="81" t="s">
        <v>256</v>
      </c>
    </row>
    <row r="10" spans="2:4" x14ac:dyDescent="0.25">
      <c r="B10" s="2">
        <v>8</v>
      </c>
      <c r="C10" s="2" t="s">
        <v>298</v>
      </c>
      <c r="D10" s="81" t="s">
        <v>257</v>
      </c>
    </row>
    <row r="11" spans="2:4" x14ac:dyDescent="0.25">
      <c r="B11" s="2">
        <v>9</v>
      </c>
      <c r="C11" s="2" t="s">
        <v>299</v>
      </c>
      <c r="D11" s="81" t="s">
        <v>258</v>
      </c>
    </row>
    <row r="12" spans="2:4" x14ac:dyDescent="0.25">
      <c r="B12" s="2">
        <v>10</v>
      </c>
      <c r="C12" s="2" t="s">
        <v>291</v>
      </c>
      <c r="D12" s="81" t="s">
        <v>421</v>
      </c>
    </row>
    <row r="13" spans="2:4" x14ac:dyDescent="0.25">
      <c r="B13" s="2">
        <v>11</v>
      </c>
      <c r="C13" s="2" t="s">
        <v>306</v>
      </c>
      <c r="D13" s="81" t="s">
        <v>259</v>
      </c>
    </row>
    <row r="14" spans="2:4" x14ac:dyDescent="0.25">
      <c r="B14" s="2">
        <v>12</v>
      </c>
      <c r="C14" s="2" t="s">
        <v>306</v>
      </c>
      <c r="D14" s="81" t="s">
        <v>278</v>
      </c>
    </row>
    <row r="15" spans="2:4" x14ac:dyDescent="0.25">
      <c r="B15" s="2">
        <v>13</v>
      </c>
      <c r="C15" s="2" t="s">
        <v>306</v>
      </c>
      <c r="D15" s="81" t="s">
        <v>261</v>
      </c>
    </row>
    <row r="16" spans="2:4" x14ac:dyDescent="0.25">
      <c r="B16" s="2">
        <v>14</v>
      </c>
      <c r="C16" s="2" t="s">
        <v>306</v>
      </c>
      <c r="D16" s="81" t="s">
        <v>287</v>
      </c>
    </row>
    <row r="17" spans="2:4" x14ac:dyDescent="0.25">
      <c r="B17" s="2">
        <v>15</v>
      </c>
      <c r="C17" s="2" t="s">
        <v>306</v>
      </c>
      <c r="D17" s="81" t="s">
        <v>423</v>
      </c>
    </row>
    <row r="18" spans="2:4" x14ac:dyDescent="0.25">
      <c r="B18" s="2">
        <v>16</v>
      </c>
      <c r="C18" s="2" t="s">
        <v>306</v>
      </c>
      <c r="D18" s="81" t="s">
        <v>277</v>
      </c>
    </row>
    <row r="19" spans="2:4" x14ac:dyDescent="0.25">
      <c r="B19" s="2">
        <v>17</v>
      </c>
      <c r="C19" s="2" t="s">
        <v>306</v>
      </c>
      <c r="D19" s="81" t="s">
        <v>262</v>
      </c>
    </row>
    <row r="20" spans="2:4" x14ac:dyDescent="0.25">
      <c r="B20" s="2">
        <v>18</v>
      </c>
      <c r="C20" s="2" t="s">
        <v>306</v>
      </c>
      <c r="D20" s="81" t="s">
        <v>263</v>
      </c>
    </row>
    <row r="21" spans="2:4" x14ac:dyDescent="0.25">
      <c r="B21" s="2">
        <v>19</v>
      </c>
      <c r="C21" s="2" t="s">
        <v>306</v>
      </c>
      <c r="D21" s="81" t="s">
        <v>260</v>
      </c>
    </row>
    <row r="22" spans="2:4" x14ac:dyDescent="0.25">
      <c r="B22" s="2">
        <v>20</v>
      </c>
      <c r="C22" s="2" t="s">
        <v>435</v>
      </c>
      <c r="D22" s="81" t="s">
        <v>279</v>
      </c>
    </row>
    <row r="23" spans="2:4" x14ac:dyDescent="0.25">
      <c r="B23" s="2">
        <v>21</v>
      </c>
      <c r="C23" s="2" t="s">
        <v>306</v>
      </c>
      <c r="D23" s="81" t="s">
        <v>424</v>
      </c>
    </row>
    <row r="24" spans="2:4" x14ac:dyDescent="0.25">
      <c r="B24" s="2">
        <v>22</v>
      </c>
      <c r="C24" s="2" t="s">
        <v>306</v>
      </c>
      <c r="D24" s="81" t="s">
        <v>264</v>
      </c>
    </row>
    <row r="25" spans="2:4" x14ac:dyDescent="0.25">
      <c r="B25" s="2">
        <v>23</v>
      </c>
      <c r="C25" s="2" t="s">
        <v>306</v>
      </c>
      <c r="D25" s="81" t="s">
        <v>280</v>
      </c>
    </row>
    <row r="26" spans="2:4" x14ac:dyDescent="0.25">
      <c r="B26" s="2">
        <v>24</v>
      </c>
      <c r="C26" s="2" t="s">
        <v>306</v>
      </c>
      <c r="D26" s="81" t="s">
        <v>265</v>
      </c>
    </row>
    <row r="27" spans="2:4" x14ac:dyDescent="0.25">
      <c r="B27" s="2">
        <v>25</v>
      </c>
      <c r="C27" s="2" t="s">
        <v>306</v>
      </c>
      <c r="D27" s="81" t="s">
        <v>266</v>
      </c>
    </row>
    <row r="28" spans="2:4" x14ac:dyDescent="0.25">
      <c r="B28" s="2">
        <v>26</v>
      </c>
      <c r="C28" s="2" t="s">
        <v>306</v>
      </c>
      <c r="D28" s="81" t="s">
        <v>267</v>
      </c>
    </row>
    <row r="29" spans="2:4" x14ac:dyDescent="0.25">
      <c r="B29" s="2">
        <v>27</v>
      </c>
      <c r="C29" s="2" t="s">
        <v>306</v>
      </c>
      <c r="D29" s="81" t="s">
        <v>268</v>
      </c>
    </row>
    <row r="30" spans="2:4" x14ac:dyDescent="0.25">
      <c r="B30" s="2">
        <v>28</v>
      </c>
      <c r="C30" s="2" t="s">
        <v>306</v>
      </c>
      <c r="D30" s="81" t="s">
        <v>283</v>
      </c>
    </row>
    <row r="31" spans="2:4" x14ac:dyDescent="0.25">
      <c r="B31" s="2">
        <v>29</v>
      </c>
      <c r="C31" s="2" t="s">
        <v>306</v>
      </c>
    </row>
    <row r="32" spans="2:4" x14ac:dyDescent="0.25">
      <c r="B32" s="2">
        <v>30</v>
      </c>
      <c r="C32" s="2" t="s">
        <v>436</v>
      </c>
    </row>
    <row r="33" spans="2:3" x14ac:dyDescent="0.25">
      <c r="B33" s="2">
        <v>31</v>
      </c>
      <c r="C33" s="2" t="s">
        <v>306</v>
      </c>
    </row>
    <row r="34" spans="2:3" x14ac:dyDescent="0.25">
      <c r="B34" s="2">
        <v>32</v>
      </c>
      <c r="C34" s="2" t="s">
        <v>306</v>
      </c>
    </row>
    <row r="35" spans="2:3" x14ac:dyDescent="0.25">
      <c r="B35" s="2">
        <v>33</v>
      </c>
      <c r="C35" s="2" t="s">
        <v>306</v>
      </c>
    </row>
    <row r="36" spans="2:3" x14ac:dyDescent="0.25">
      <c r="B36" s="2">
        <v>34</v>
      </c>
      <c r="C36" s="2" t="s">
        <v>306</v>
      </c>
    </row>
    <row r="37" spans="2:3" x14ac:dyDescent="0.25">
      <c r="B37" s="2">
        <v>35</v>
      </c>
      <c r="C37" s="2" t="s">
        <v>306</v>
      </c>
    </row>
    <row r="38" spans="2:3" x14ac:dyDescent="0.25">
      <c r="B38" s="2">
        <v>36</v>
      </c>
      <c r="C38" s="2" t="s">
        <v>306</v>
      </c>
    </row>
    <row r="39" spans="2:3" x14ac:dyDescent="0.25">
      <c r="B39" s="2">
        <v>37</v>
      </c>
      <c r="C39" s="2" t="s">
        <v>306</v>
      </c>
    </row>
    <row r="40" spans="2:3" x14ac:dyDescent="0.25">
      <c r="B40" s="2">
        <v>38</v>
      </c>
      <c r="C40" s="2" t="s">
        <v>306</v>
      </c>
    </row>
    <row r="41" spans="2:3" x14ac:dyDescent="0.25">
      <c r="B41" s="2">
        <v>39</v>
      </c>
      <c r="C41" s="2" t="s">
        <v>306</v>
      </c>
    </row>
    <row r="42" spans="2:3" x14ac:dyDescent="0.25">
      <c r="B42" s="2">
        <v>40</v>
      </c>
      <c r="C42" s="2" t="s">
        <v>437</v>
      </c>
    </row>
    <row r="43" spans="2:3" x14ac:dyDescent="0.25">
      <c r="B43" s="2">
        <v>41</v>
      </c>
      <c r="C43" s="2" t="s">
        <v>306</v>
      </c>
    </row>
    <row r="44" spans="2:3" x14ac:dyDescent="0.25">
      <c r="B44" s="2">
        <v>42</v>
      </c>
      <c r="C44" s="2" t="s">
        <v>306</v>
      </c>
    </row>
    <row r="45" spans="2:3" x14ac:dyDescent="0.25">
      <c r="B45" s="2">
        <v>43</v>
      </c>
      <c r="C45" s="2" t="s">
        <v>306</v>
      </c>
    </row>
    <row r="46" spans="2:3" x14ac:dyDescent="0.25">
      <c r="B46" s="2">
        <v>44</v>
      </c>
      <c r="C46" s="2" t="s">
        <v>306</v>
      </c>
    </row>
    <row r="47" spans="2:3" x14ac:dyDescent="0.25">
      <c r="B47" s="2">
        <v>45</v>
      </c>
      <c r="C47" s="2" t="s">
        <v>306</v>
      </c>
    </row>
    <row r="48" spans="2:3" x14ac:dyDescent="0.25">
      <c r="B48" s="2">
        <v>46</v>
      </c>
      <c r="C48" s="2" t="s">
        <v>306</v>
      </c>
    </row>
    <row r="49" spans="2:3" x14ac:dyDescent="0.25">
      <c r="B49" s="2">
        <v>47</v>
      </c>
      <c r="C49" s="2" t="s">
        <v>306</v>
      </c>
    </row>
    <row r="50" spans="2:3" x14ac:dyDescent="0.25">
      <c r="B50" s="2">
        <v>48</v>
      </c>
      <c r="C50" s="2" t="s">
        <v>306</v>
      </c>
    </row>
    <row r="51" spans="2:3" x14ac:dyDescent="0.25">
      <c r="B51" s="2">
        <v>49</v>
      </c>
      <c r="C51" s="2" t="s">
        <v>306</v>
      </c>
    </row>
    <row r="52" spans="2:3" x14ac:dyDescent="0.25">
      <c r="B52" s="2">
        <v>50</v>
      </c>
      <c r="C52" s="2" t="s">
        <v>292</v>
      </c>
    </row>
    <row r="53" spans="2:3" x14ac:dyDescent="0.25">
      <c r="B53" s="2">
        <v>51</v>
      </c>
      <c r="C53" s="2" t="s">
        <v>306</v>
      </c>
    </row>
    <row r="54" spans="2:3" x14ac:dyDescent="0.25">
      <c r="B54" s="2">
        <v>52</v>
      </c>
      <c r="C54" s="2" t="s">
        <v>306</v>
      </c>
    </row>
    <row r="55" spans="2:3" x14ac:dyDescent="0.25">
      <c r="B55" s="2">
        <v>53</v>
      </c>
      <c r="C55" s="2" t="s">
        <v>306</v>
      </c>
    </row>
    <row r="56" spans="2:3" x14ac:dyDescent="0.25">
      <c r="B56" s="2">
        <v>54</v>
      </c>
      <c r="C56" s="2" t="s">
        <v>306</v>
      </c>
    </row>
    <row r="57" spans="2:3" x14ac:dyDescent="0.25">
      <c r="B57" s="2">
        <v>55</v>
      </c>
      <c r="C57" s="2" t="s">
        <v>306</v>
      </c>
    </row>
    <row r="58" spans="2:3" x14ac:dyDescent="0.25">
      <c r="B58" s="2">
        <v>56</v>
      </c>
      <c r="C58" s="2" t="s">
        <v>306</v>
      </c>
    </row>
    <row r="59" spans="2:3" x14ac:dyDescent="0.25">
      <c r="B59" s="2">
        <v>57</v>
      </c>
      <c r="C59" s="2" t="s">
        <v>306</v>
      </c>
    </row>
    <row r="60" spans="2:3" x14ac:dyDescent="0.25">
      <c r="B60" s="2">
        <v>58</v>
      </c>
      <c r="C60" s="2" t="s">
        <v>306</v>
      </c>
    </row>
    <row r="61" spans="2:3" x14ac:dyDescent="0.25">
      <c r="B61" s="2">
        <v>59</v>
      </c>
      <c r="C61" s="2" t="s">
        <v>306</v>
      </c>
    </row>
    <row r="62" spans="2:3" x14ac:dyDescent="0.25">
      <c r="B62" s="2">
        <v>60</v>
      </c>
      <c r="C62" s="2" t="s">
        <v>438</v>
      </c>
    </row>
    <row r="63" spans="2:3" x14ac:dyDescent="0.25">
      <c r="B63" s="2">
        <v>61</v>
      </c>
      <c r="C63" s="2" t="s">
        <v>306</v>
      </c>
    </row>
    <row r="64" spans="2:3" x14ac:dyDescent="0.25">
      <c r="B64" s="2">
        <v>62</v>
      </c>
      <c r="C64" s="2" t="s">
        <v>306</v>
      </c>
    </row>
    <row r="65" spans="2:3" x14ac:dyDescent="0.25">
      <c r="B65" s="2">
        <v>63</v>
      </c>
      <c r="C65" s="2" t="s">
        <v>306</v>
      </c>
    </row>
    <row r="66" spans="2:3" x14ac:dyDescent="0.25">
      <c r="B66" s="2">
        <v>64</v>
      </c>
      <c r="C66" s="2" t="s">
        <v>306</v>
      </c>
    </row>
    <row r="67" spans="2:3" x14ac:dyDescent="0.25">
      <c r="B67" s="2">
        <v>65</v>
      </c>
      <c r="C67" s="2" t="s">
        <v>306</v>
      </c>
    </row>
    <row r="68" spans="2:3" x14ac:dyDescent="0.25">
      <c r="B68" s="2">
        <v>66</v>
      </c>
      <c r="C68" s="2" t="s">
        <v>306</v>
      </c>
    </row>
    <row r="69" spans="2:3" x14ac:dyDescent="0.25">
      <c r="B69" s="2">
        <v>67</v>
      </c>
      <c r="C69" s="2" t="s">
        <v>306</v>
      </c>
    </row>
    <row r="70" spans="2:3" x14ac:dyDescent="0.25">
      <c r="B70" s="2">
        <v>68</v>
      </c>
      <c r="C70" s="2" t="s">
        <v>306</v>
      </c>
    </row>
    <row r="71" spans="2:3" x14ac:dyDescent="0.25">
      <c r="B71" s="2">
        <v>69</v>
      </c>
      <c r="C71" s="2" t="s">
        <v>306</v>
      </c>
    </row>
    <row r="72" spans="2:3" x14ac:dyDescent="0.25">
      <c r="B72" s="2">
        <v>70</v>
      </c>
      <c r="C72" s="2" t="s">
        <v>439</v>
      </c>
    </row>
    <row r="73" spans="2:3" x14ac:dyDescent="0.25">
      <c r="B73" s="2">
        <v>71</v>
      </c>
      <c r="C73" s="2" t="s">
        <v>306</v>
      </c>
    </row>
    <row r="74" spans="2:3" x14ac:dyDescent="0.25">
      <c r="B74" s="2">
        <v>72</v>
      </c>
      <c r="C74" s="2" t="s">
        <v>306</v>
      </c>
    </row>
    <row r="75" spans="2:3" x14ac:dyDescent="0.25">
      <c r="B75" s="2">
        <v>73</v>
      </c>
      <c r="C75" s="2" t="s">
        <v>306</v>
      </c>
    </row>
    <row r="76" spans="2:3" x14ac:dyDescent="0.25">
      <c r="B76" s="2">
        <v>74</v>
      </c>
      <c r="C76" s="2" t="s">
        <v>306</v>
      </c>
    </row>
    <row r="77" spans="2:3" x14ac:dyDescent="0.25">
      <c r="B77" s="2">
        <v>75</v>
      </c>
      <c r="C77" s="2" t="s">
        <v>306</v>
      </c>
    </row>
    <row r="78" spans="2:3" x14ac:dyDescent="0.25">
      <c r="B78" s="2">
        <v>76</v>
      </c>
      <c r="C78" s="2" t="s">
        <v>306</v>
      </c>
    </row>
    <row r="79" spans="2:3" x14ac:dyDescent="0.25">
      <c r="B79" s="2">
        <v>77</v>
      </c>
      <c r="C79" s="2" t="s">
        <v>306</v>
      </c>
    </row>
    <row r="80" spans="2:3" x14ac:dyDescent="0.25">
      <c r="B80" s="2">
        <v>78</v>
      </c>
      <c r="C80" s="2" t="s">
        <v>306</v>
      </c>
    </row>
    <row r="81" spans="2:3" x14ac:dyDescent="0.25">
      <c r="B81" s="2">
        <v>79</v>
      </c>
      <c r="C81" s="2" t="s">
        <v>306</v>
      </c>
    </row>
    <row r="82" spans="2:3" x14ac:dyDescent="0.25">
      <c r="B82" s="2">
        <v>80</v>
      </c>
      <c r="C82" s="2" t="s">
        <v>306</v>
      </c>
    </row>
    <row r="83" spans="2:3" x14ac:dyDescent="0.25">
      <c r="B83" s="2">
        <v>81</v>
      </c>
      <c r="C83" s="2" t="s">
        <v>306</v>
      </c>
    </row>
    <row r="84" spans="2:3" x14ac:dyDescent="0.25">
      <c r="B84" s="2">
        <v>82</v>
      </c>
      <c r="C84" s="2" t="s">
        <v>306</v>
      </c>
    </row>
    <row r="85" spans="2:3" x14ac:dyDescent="0.25">
      <c r="B85" s="2">
        <v>83</v>
      </c>
      <c r="C85" s="2" t="s">
        <v>306</v>
      </c>
    </row>
    <row r="86" spans="2:3" x14ac:dyDescent="0.25">
      <c r="B86" s="2">
        <v>84</v>
      </c>
      <c r="C86" s="2" t="s">
        <v>306</v>
      </c>
    </row>
    <row r="87" spans="2:3" x14ac:dyDescent="0.25">
      <c r="B87" s="2">
        <v>85</v>
      </c>
      <c r="C87" s="2" t="s">
        <v>306</v>
      </c>
    </row>
    <row r="88" spans="2:3" x14ac:dyDescent="0.25">
      <c r="B88" s="2">
        <v>86</v>
      </c>
      <c r="C88" s="2" t="s">
        <v>306</v>
      </c>
    </row>
    <row r="89" spans="2:3" x14ac:dyDescent="0.25">
      <c r="B89" s="2">
        <v>87</v>
      </c>
      <c r="C89" s="2" t="s">
        <v>306</v>
      </c>
    </row>
    <row r="90" spans="2:3" x14ac:dyDescent="0.25">
      <c r="B90" s="2">
        <v>88</v>
      </c>
      <c r="C90" s="2" t="s">
        <v>306</v>
      </c>
    </row>
    <row r="91" spans="2:3" x14ac:dyDescent="0.25">
      <c r="B91" s="2">
        <v>89</v>
      </c>
      <c r="C91" s="2" t="s">
        <v>306</v>
      </c>
    </row>
    <row r="92" spans="2:3" x14ac:dyDescent="0.25">
      <c r="B92" s="2">
        <v>90</v>
      </c>
      <c r="C92" s="2" t="s">
        <v>306</v>
      </c>
    </row>
    <row r="93" spans="2:3" x14ac:dyDescent="0.25">
      <c r="B93" s="2">
        <v>91</v>
      </c>
      <c r="C93" s="2" t="s">
        <v>306</v>
      </c>
    </row>
    <row r="94" spans="2:3" x14ac:dyDescent="0.25">
      <c r="B94" s="2">
        <v>92</v>
      </c>
      <c r="C94" s="2" t="s">
        <v>306</v>
      </c>
    </row>
    <row r="95" spans="2:3" x14ac:dyDescent="0.25">
      <c r="B95" s="2">
        <v>93</v>
      </c>
      <c r="C95" s="2" t="s">
        <v>306</v>
      </c>
    </row>
    <row r="96" spans="2:3" x14ac:dyDescent="0.25">
      <c r="B96" s="2">
        <v>94</v>
      </c>
      <c r="C96" s="2" t="s">
        <v>306</v>
      </c>
    </row>
    <row r="97" spans="2:3" x14ac:dyDescent="0.25">
      <c r="B97" s="2">
        <v>95</v>
      </c>
      <c r="C97" s="2" t="s">
        <v>306</v>
      </c>
    </row>
    <row r="98" spans="2:3" x14ac:dyDescent="0.25">
      <c r="B98" s="2">
        <v>96</v>
      </c>
      <c r="C98" s="2" t="s">
        <v>306</v>
      </c>
    </row>
    <row r="99" spans="2:3" x14ac:dyDescent="0.25">
      <c r="B99" s="2">
        <v>97</v>
      </c>
      <c r="C99" s="2" t="s">
        <v>306</v>
      </c>
    </row>
    <row r="100" spans="2:3" x14ac:dyDescent="0.25">
      <c r="B100" s="2">
        <v>98</v>
      </c>
      <c r="C100" s="2" t="s">
        <v>306</v>
      </c>
    </row>
    <row r="101" spans="2:3" x14ac:dyDescent="0.25">
      <c r="B101" s="2">
        <v>99</v>
      </c>
      <c r="C101" s="2" t="s">
        <v>306</v>
      </c>
    </row>
    <row r="102" spans="2:3" x14ac:dyDescent="0.25">
      <c r="B102" s="2">
        <v>100</v>
      </c>
      <c r="C102" s="2" t="s">
        <v>306</v>
      </c>
    </row>
    <row r="103" spans="2:3" x14ac:dyDescent="0.25">
      <c r="B103" s="2">
        <v>101</v>
      </c>
      <c r="C103" s="2" t="s">
        <v>306</v>
      </c>
    </row>
    <row r="104" spans="2:3" x14ac:dyDescent="0.25">
      <c r="B104" s="2">
        <v>102</v>
      </c>
      <c r="C104" s="2" t="s">
        <v>306</v>
      </c>
    </row>
    <row r="105" spans="2:3" x14ac:dyDescent="0.25">
      <c r="B105" s="2">
        <v>103</v>
      </c>
      <c r="C105" s="2" t="s">
        <v>306</v>
      </c>
    </row>
    <row r="106" spans="2:3" x14ac:dyDescent="0.25">
      <c r="B106" s="2">
        <v>104</v>
      </c>
      <c r="C106" s="2" t="s">
        <v>306</v>
      </c>
    </row>
    <row r="107" spans="2:3" x14ac:dyDescent="0.25">
      <c r="B107" s="2">
        <v>105</v>
      </c>
      <c r="C107" s="2" t="s">
        <v>306</v>
      </c>
    </row>
    <row r="108" spans="2:3" x14ac:dyDescent="0.25">
      <c r="B108" s="2">
        <v>106</v>
      </c>
      <c r="C108" s="2" t="s">
        <v>306</v>
      </c>
    </row>
    <row r="109" spans="2:3" x14ac:dyDescent="0.25">
      <c r="B109" s="2">
        <v>107</v>
      </c>
      <c r="C109" s="2" t="s">
        <v>306</v>
      </c>
    </row>
    <row r="110" spans="2:3" x14ac:dyDescent="0.25">
      <c r="B110" s="2">
        <v>108</v>
      </c>
      <c r="C110" s="2" t="s">
        <v>306</v>
      </c>
    </row>
    <row r="111" spans="2:3" x14ac:dyDescent="0.25">
      <c r="B111" s="2">
        <v>109</v>
      </c>
      <c r="C111" s="2" t="s">
        <v>306</v>
      </c>
    </row>
    <row r="112" spans="2:3" x14ac:dyDescent="0.25">
      <c r="B112" s="2">
        <v>110</v>
      </c>
      <c r="C112" s="2" t="s">
        <v>306</v>
      </c>
    </row>
    <row r="113" spans="2:3" x14ac:dyDescent="0.25">
      <c r="B113" s="2">
        <v>111</v>
      </c>
      <c r="C113" s="2" t="s">
        <v>306</v>
      </c>
    </row>
    <row r="114" spans="2:3" x14ac:dyDescent="0.25">
      <c r="B114" s="2">
        <v>112</v>
      </c>
      <c r="C114" s="2" t="s">
        <v>306</v>
      </c>
    </row>
    <row r="115" spans="2:3" x14ac:dyDescent="0.25">
      <c r="B115" s="2">
        <v>113</v>
      </c>
      <c r="C115" s="2" t="s">
        <v>306</v>
      </c>
    </row>
    <row r="116" spans="2:3" x14ac:dyDescent="0.25">
      <c r="B116" s="2">
        <v>114</v>
      </c>
      <c r="C116" s="2" t="s">
        <v>306</v>
      </c>
    </row>
    <row r="117" spans="2:3" x14ac:dyDescent="0.25">
      <c r="B117" s="2">
        <v>115</v>
      </c>
      <c r="C117" s="2" t="s">
        <v>306</v>
      </c>
    </row>
    <row r="118" spans="2:3" x14ac:dyDescent="0.25">
      <c r="B118" s="2">
        <v>116</v>
      </c>
      <c r="C118" s="2" t="s">
        <v>306</v>
      </c>
    </row>
    <row r="119" spans="2:3" x14ac:dyDescent="0.25">
      <c r="B119" s="2">
        <v>117</v>
      </c>
      <c r="C119" s="2" t="s">
        <v>306</v>
      </c>
    </row>
    <row r="120" spans="2:3" x14ac:dyDescent="0.25">
      <c r="B120" s="2">
        <v>118</v>
      </c>
      <c r="C120" s="2" t="s">
        <v>306</v>
      </c>
    </row>
    <row r="121" spans="2:3" x14ac:dyDescent="0.25">
      <c r="B121" s="2">
        <v>119</v>
      </c>
      <c r="C121" s="2" t="s">
        <v>306</v>
      </c>
    </row>
    <row r="122" spans="2:3" x14ac:dyDescent="0.25">
      <c r="B122" s="2">
        <v>120</v>
      </c>
      <c r="C122" s="2" t="s">
        <v>306</v>
      </c>
    </row>
    <row r="123" spans="2:3" x14ac:dyDescent="0.25">
      <c r="B123" s="2">
        <v>121</v>
      </c>
      <c r="C123" s="2" t="s">
        <v>306</v>
      </c>
    </row>
    <row r="124" spans="2:3" x14ac:dyDescent="0.25">
      <c r="B124" s="2">
        <v>122</v>
      </c>
      <c r="C124" s="2" t="s">
        <v>306</v>
      </c>
    </row>
    <row r="125" spans="2:3" x14ac:dyDescent="0.25">
      <c r="B125" s="2">
        <v>123</v>
      </c>
      <c r="C125" s="2" t="s">
        <v>306</v>
      </c>
    </row>
    <row r="126" spans="2:3" x14ac:dyDescent="0.25">
      <c r="B126" s="2">
        <v>124</v>
      </c>
      <c r="C126" s="2" t="s">
        <v>306</v>
      </c>
    </row>
    <row r="127" spans="2:3" x14ac:dyDescent="0.25">
      <c r="B127" s="2">
        <v>125</v>
      </c>
      <c r="C127" s="2" t="s">
        <v>306</v>
      </c>
    </row>
    <row r="128" spans="2:3" x14ac:dyDescent="0.25">
      <c r="B128" s="2">
        <v>126</v>
      </c>
      <c r="C128" s="2" t="s">
        <v>306</v>
      </c>
    </row>
    <row r="129" spans="2:3" x14ac:dyDescent="0.25">
      <c r="B129" s="2">
        <v>127</v>
      </c>
      <c r="C129" s="2" t="s">
        <v>306</v>
      </c>
    </row>
    <row r="130" spans="2:3" x14ac:dyDescent="0.25">
      <c r="B130" s="2">
        <v>128</v>
      </c>
      <c r="C130" s="2" t="s">
        <v>306</v>
      </c>
    </row>
    <row r="131" spans="2:3" x14ac:dyDescent="0.25">
      <c r="B131" s="2">
        <v>129</v>
      </c>
      <c r="C131" s="2" t="s">
        <v>306</v>
      </c>
    </row>
    <row r="132" spans="2:3" x14ac:dyDescent="0.25">
      <c r="B132" s="2">
        <v>130</v>
      </c>
      <c r="C132" s="2" t="s">
        <v>294</v>
      </c>
    </row>
    <row r="133" spans="2:3" x14ac:dyDescent="0.25">
      <c r="B133" s="2">
        <v>131</v>
      </c>
      <c r="C133" s="2" t="s">
        <v>306</v>
      </c>
    </row>
    <row r="134" spans="2:3" x14ac:dyDescent="0.25">
      <c r="B134" s="2">
        <v>132</v>
      </c>
      <c r="C134" s="2" t="s">
        <v>306</v>
      </c>
    </row>
    <row r="135" spans="2:3" x14ac:dyDescent="0.25">
      <c r="B135" s="2">
        <v>133</v>
      </c>
      <c r="C135" s="2" t="s">
        <v>306</v>
      </c>
    </row>
    <row r="136" spans="2:3" x14ac:dyDescent="0.25">
      <c r="B136" s="2">
        <v>134</v>
      </c>
      <c r="C136" s="2" t="s">
        <v>306</v>
      </c>
    </row>
    <row r="137" spans="2:3" x14ac:dyDescent="0.25">
      <c r="B137" s="2">
        <v>135</v>
      </c>
      <c r="C137" s="2" t="s">
        <v>306</v>
      </c>
    </row>
    <row r="138" spans="2:3" x14ac:dyDescent="0.25">
      <c r="B138" s="2">
        <v>136</v>
      </c>
      <c r="C138" s="2" t="s">
        <v>306</v>
      </c>
    </row>
    <row r="139" spans="2:3" x14ac:dyDescent="0.25">
      <c r="B139" s="2">
        <v>137</v>
      </c>
      <c r="C139" s="2" t="s">
        <v>306</v>
      </c>
    </row>
    <row r="140" spans="2:3" x14ac:dyDescent="0.25">
      <c r="B140" s="2">
        <v>138</v>
      </c>
      <c r="C140" s="2" t="s">
        <v>306</v>
      </c>
    </row>
    <row r="141" spans="2:3" x14ac:dyDescent="0.25">
      <c r="B141" s="2">
        <v>139</v>
      </c>
      <c r="C141" s="2" t="s">
        <v>306</v>
      </c>
    </row>
    <row r="142" spans="2:3" x14ac:dyDescent="0.25">
      <c r="B142" s="2">
        <v>140</v>
      </c>
      <c r="C142" s="2" t="s">
        <v>440</v>
      </c>
    </row>
    <row r="143" spans="2:3" x14ac:dyDescent="0.25">
      <c r="B143" s="2">
        <v>141</v>
      </c>
      <c r="C143" s="2" t="s">
        <v>306</v>
      </c>
    </row>
    <row r="144" spans="2:3" x14ac:dyDescent="0.25">
      <c r="B144" s="2">
        <v>142</v>
      </c>
      <c r="C144" s="2" t="s">
        <v>306</v>
      </c>
    </row>
    <row r="145" spans="2:3" x14ac:dyDescent="0.25">
      <c r="B145" s="2">
        <v>143</v>
      </c>
      <c r="C145" s="2" t="s">
        <v>306</v>
      </c>
    </row>
    <row r="146" spans="2:3" x14ac:dyDescent="0.25">
      <c r="B146" s="2">
        <v>144</v>
      </c>
      <c r="C146" s="2" t="s">
        <v>306</v>
      </c>
    </row>
    <row r="147" spans="2:3" x14ac:dyDescent="0.25">
      <c r="B147" s="2">
        <v>145</v>
      </c>
      <c r="C147" s="2" t="s">
        <v>306</v>
      </c>
    </row>
    <row r="148" spans="2:3" x14ac:dyDescent="0.25">
      <c r="B148" s="2">
        <v>146</v>
      </c>
      <c r="C148" s="2" t="s">
        <v>306</v>
      </c>
    </row>
    <row r="149" spans="2:3" x14ac:dyDescent="0.25">
      <c r="B149" s="2">
        <v>147</v>
      </c>
      <c r="C149" s="2" t="s">
        <v>306</v>
      </c>
    </row>
    <row r="150" spans="2:3" x14ac:dyDescent="0.25">
      <c r="B150" s="2">
        <v>148</v>
      </c>
      <c r="C150" s="2" t="s">
        <v>306</v>
      </c>
    </row>
    <row r="151" spans="2:3" x14ac:dyDescent="0.25">
      <c r="B151" s="2">
        <v>149</v>
      </c>
      <c r="C151" s="2" t="s">
        <v>306</v>
      </c>
    </row>
    <row r="152" spans="2:3" x14ac:dyDescent="0.25">
      <c r="B152" s="2">
        <v>150</v>
      </c>
      <c r="C152" s="2" t="s">
        <v>441</v>
      </c>
    </row>
    <row r="153" spans="2:3" x14ac:dyDescent="0.25">
      <c r="B153" s="2">
        <v>151</v>
      </c>
      <c r="C153" s="2" t="s">
        <v>306</v>
      </c>
    </row>
    <row r="154" spans="2:3" x14ac:dyDescent="0.25">
      <c r="B154" s="2">
        <v>152</v>
      </c>
      <c r="C154" s="2" t="s">
        <v>306</v>
      </c>
    </row>
    <row r="155" spans="2:3" x14ac:dyDescent="0.25">
      <c r="B155" s="2">
        <v>153</v>
      </c>
      <c r="C155" s="2" t="s">
        <v>306</v>
      </c>
    </row>
    <row r="156" spans="2:3" x14ac:dyDescent="0.25">
      <c r="B156" s="2">
        <v>154</v>
      </c>
      <c r="C156" s="2" t="s">
        <v>306</v>
      </c>
    </row>
    <row r="157" spans="2:3" x14ac:dyDescent="0.25">
      <c r="B157" s="2">
        <v>155</v>
      </c>
      <c r="C157" s="2" t="s">
        <v>306</v>
      </c>
    </row>
    <row r="158" spans="2:3" x14ac:dyDescent="0.25">
      <c r="B158" s="2">
        <v>156</v>
      </c>
      <c r="C158" s="2" t="s">
        <v>306</v>
      </c>
    </row>
    <row r="159" spans="2:3" x14ac:dyDescent="0.25">
      <c r="B159" s="2">
        <v>157</v>
      </c>
      <c r="C159" s="2" t="s">
        <v>306</v>
      </c>
    </row>
    <row r="160" spans="2:3" x14ac:dyDescent="0.25">
      <c r="B160" s="2">
        <v>158</v>
      </c>
      <c r="C160" s="2" t="s">
        <v>306</v>
      </c>
    </row>
    <row r="161" spans="2:3" x14ac:dyDescent="0.25">
      <c r="B161" s="2">
        <v>159</v>
      </c>
      <c r="C161" s="2" t="s">
        <v>306</v>
      </c>
    </row>
    <row r="162" spans="2:3" x14ac:dyDescent="0.25">
      <c r="B162" s="2">
        <v>160</v>
      </c>
      <c r="C162" s="2" t="s">
        <v>295</v>
      </c>
    </row>
    <row r="163" spans="2:3" x14ac:dyDescent="0.25">
      <c r="B163" s="2">
        <v>161</v>
      </c>
      <c r="C163" s="2" t="s">
        <v>306</v>
      </c>
    </row>
    <row r="164" spans="2:3" x14ac:dyDescent="0.25">
      <c r="B164" s="2">
        <v>162</v>
      </c>
      <c r="C164" s="2" t="s">
        <v>306</v>
      </c>
    </row>
    <row r="165" spans="2:3" x14ac:dyDescent="0.25">
      <c r="B165" s="2">
        <v>163</v>
      </c>
      <c r="C165" s="2" t="s">
        <v>306</v>
      </c>
    </row>
    <row r="166" spans="2:3" x14ac:dyDescent="0.25">
      <c r="B166" s="2">
        <v>164</v>
      </c>
      <c r="C166" s="2" t="s">
        <v>306</v>
      </c>
    </row>
    <row r="167" spans="2:3" x14ac:dyDescent="0.25">
      <c r="B167" s="2">
        <v>165</v>
      </c>
      <c r="C167" s="2" t="s">
        <v>306</v>
      </c>
    </row>
    <row r="168" spans="2:3" x14ac:dyDescent="0.25">
      <c r="B168" s="2">
        <v>166</v>
      </c>
      <c r="C168" s="2" t="s">
        <v>306</v>
      </c>
    </row>
    <row r="169" spans="2:3" x14ac:dyDescent="0.25">
      <c r="B169" s="2">
        <v>167</v>
      </c>
      <c r="C169" s="2" t="s">
        <v>306</v>
      </c>
    </row>
    <row r="170" spans="2:3" x14ac:dyDescent="0.25">
      <c r="B170" s="2">
        <v>168</v>
      </c>
      <c r="C170" s="2" t="s">
        <v>306</v>
      </c>
    </row>
    <row r="171" spans="2:3" x14ac:dyDescent="0.25">
      <c r="B171" s="2">
        <v>169</v>
      </c>
      <c r="C171" s="2" t="s">
        <v>306</v>
      </c>
    </row>
    <row r="172" spans="2:3" x14ac:dyDescent="0.25">
      <c r="B172" s="2">
        <v>170</v>
      </c>
      <c r="C172" s="2" t="s">
        <v>442</v>
      </c>
    </row>
    <row r="173" spans="2:3" x14ac:dyDescent="0.25">
      <c r="B173" s="2">
        <v>171</v>
      </c>
      <c r="C173" s="2" t="s">
        <v>306</v>
      </c>
    </row>
    <row r="174" spans="2:3" x14ac:dyDescent="0.25">
      <c r="B174" s="2">
        <v>172</v>
      </c>
      <c r="C174" s="2" t="s">
        <v>306</v>
      </c>
    </row>
    <row r="175" spans="2:3" x14ac:dyDescent="0.25">
      <c r="B175" s="2">
        <v>173</v>
      </c>
      <c r="C175" s="2" t="s">
        <v>306</v>
      </c>
    </row>
    <row r="176" spans="2:3" x14ac:dyDescent="0.25">
      <c r="B176" s="2">
        <v>174</v>
      </c>
      <c r="C176" s="2" t="s">
        <v>306</v>
      </c>
    </row>
    <row r="177" spans="2:3" x14ac:dyDescent="0.25">
      <c r="B177" s="2">
        <v>175</v>
      </c>
      <c r="C177" s="2" t="s">
        <v>306</v>
      </c>
    </row>
    <row r="178" spans="2:3" x14ac:dyDescent="0.25">
      <c r="B178" s="2">
        <v>176</v>
      </c>
      <c r="C178" s="2" t="s">
        <v>306</v>
      </c>
    </row>
    <row r="179" spans="2:3" x14ac:dyDescent="0.25">
      <c r="B179" s="2">
        <v>177</v>
      </c>
      <c r="C179" s="2" t="s">
        <v>306</v>
      </c>
    </row>
    <row r="180" spans="2:3" x14ac:dyDescent="0.25">
      <c r="B180" s="2">
        <v>178</v>
      </c>
      <c r="C180" s="2" t="s">
        <v>306</v>
      </c>
    </row>
    <row r="181" spans="2:3" x14ac:dyDescent="0.25">
      <c r="B181" s="2">
        <v>179</v>
      </c>
      <c r="C181" s="2" t="s">
        <v>306</v>
      </c>
    </row>
    <row r="182" spans="2:3" x14ac:dyDescent="0.25">
      <c r="B182" s="2">
        <v>180</v>
      </c>
      <c r="C182" s="2" t="s">
        <v>306</v>
      </c>
    </row>
    <row r="183" spans="2:3" x14ac:dyDescent="0.25">
      <c r="B183" s="2">
        <v>181</v>
      </c>
      <c r="C183" s="2" t="s">
        <v>306</v>
      </c>
    </row>
    <row r="184" spans="2:3" x14ac:dyDescent="0.25">
      <c r="B184" s="2">
        <v>182</v>
      </c>
      <c r="C184" s="2" t="s">
        <v>306</v>
      </c>
    </row>
    <row r="185" spans="2:3" x14ac:dyDescent="0.25">
      <c r="B185" s="2">
        <v>183</v>
      </c>
      <c r="C185" s="2" t="s">
        <v>306</v>
      </c>
    </row>
    <row r="186" spans="2:3" x14ac:dyDescent="0.25">
      <c r="B186" s="2">
        <v>184</v>
      </c>
      <c r="C186" s="2" t="s">
        <v>306</v>
      </c>
    </row>
    <row r="187" spans="2:3" x14ac:dyDescent="0.25">
      <c r="B187" s="2">
        <v>185</v>
      </c>
      <c r="C187" s="2" t="s">
        <v>306</v>
      </c>
    </row>
    <row r="188" spans="2:3" x14ac:dyDescent="0.25">
      <c r="B188" s="2">
        <v>186</v>
      </c>
      <c r="C188" s="2" t="s">
        <v>306</v>
      </c>
    </row>
    <row r="189" spans="2:3" x14ac:dyDescent="0.25">
      <c r="B189" s="2">
        <v>187</v>
      </c>
      <c r="C189" s="2" t="s">
        <v>306</v>
      </c>
    </row>
    <row r="190" spans="2:3" x14ac:dyDescent="0.25">
      <c r="B190" s="2">
        <v>188</v>
      </c>
      <c r="C190" s="2" t="s">
        <v>306</v>
      </c>
    </row>
    <row r="191" spans="2:3" x14ac:dyDescent="0.25">
      <c r="B191" s="2">
        <v>189</v>
      </c>
      <c r="C191" s="2" t="s">
        <v>306</v>
      </c>
    </row>
    <row r="192" spans="2:3" x14ac:dyDescent="0.25">
      <c r="B192" s="2">
        <v>190</v>
      </c>
      <c r="C192" s="2" t="s">
        <v>443</v>
      </c>
    </row>
    <row r="193" spans="2:3" x14ac:dyDescent="0.25">
      <c r="B193" s="2">
        <v>191</v>
      </c>
      <c r="C193" s="2" t="s">
        <v>306</v>
      </c>
    </row>
    <row r="194" spans="2:3" x14ac:dyDescent="0.25">
      <c r="B194" s="2">
        <v>192</v>
      </c>
      <c r="C194" s="2" t="s">
        <v>306</v>
      </c>
    </row>
    <row r="195" spans="2:3" x14ac:dyDescent="0.25">
      <c r="B195" s="2">
        <v>193</v>
      </c>
      <c r="C195" s="2" t="s">
        <v>306</v>
      </c>
    </row>
    <row r="196" spans="2:3" x14ac:dyDescent="0.25">
      <c r="B196" s="2">
        <v>194</v>
      </c>
      <c r="C196" s="2" t="s">
        <v>306</v>
      </c>
    </row>
    <row r="197" spans="2:3" x14ac:dyDescent="0.25">
      <c r="B197" s="2">
        <v>195</v>
      </c>
      <c r="C197" s="2" t="s">
        <v>306</v>
      </c>
    </row>
    <row r="198" spans="2:3" x14ac:dyDescent="0.25">
      <c r="B198" s="2">
        <v>196</v>
      </c>
      <c r="C198" s="2" t="s">
        <v>306</v>
      </c>
    </row>
    <row r="199" spans="2:3" x14ac:dyDescent="0.25">
      <c r="B199" s="2">
        <v>197</v>
      </c>
      <c r="C199" s="2" t="s">
        <v>306</v>
      </c>
    </row>
    <row r="200" spans="2:3" x14ac:dyDescent="0.25">
      <c r="B200" s="2">
        <v>198</v>
      </c>
      <c r="C200" s="2" t="s">
        <v>306</v>
      </c>
    </row>
    <row r="201" spans="2:3" x14ac:dyDescent="0.25">
      <c r="B201" s="2">
        <v>199</v>
      </c>
      <c r="C201" s="2" t="s">
        <v>306</v>
      </c>
    </row>
    <row r="202" spans="2:3" x14ac:dyDescent="0.25">
      <c r="B202" s="2">
        <v>200</v>
      </c>
      <c r="C202" s="2" t="s">
        <v>306</v>
      </c>
    </row>
    <row r="203" spans="2:3" x14ac:dyDescent="0.25">
      <c r="B203" s="2">
        <v>201</v>
      </c>
      <c r="C203" s="2" t="s">
        <v>306</v>
      </c>
    </row>
    <row r="204" spans="2:3" x14ac:dyDescent="0.25">
      <c r="B204" s="2">
        <v>202</v>
      </c>
      <c r="C204" s="2" t="s">
        <v>306</v>
      </c>
    </row>
    <row r="205" spans="2:3" x14ac:dyDescent="0.25">
      <c r="B205" s="2">
        <v>203</v>
      </c>
      <c r="C205" s="2" t="s">
        <v>306</v>
      </c>
    </row>
    <row r="206" spans="2:3" x14ac:dyDescent="0.25">
      <c r="B206" s="2">
        <v>204</v>
      </c>
      <c r="C206" s="2" t="s">
        <v>306</v>
      </c>
    </row>
    <row r="207" spans="2:3" x14ac:dyDescent="0.25">
      <c r="B207" s="2">
        <v>205</v>
      </c>
      <c r="C207" s="2" t="s">
        <v>306</v>
      </c>
    </row>
    <row r="208" spans="2:3" x14ac:dyDescent="0.25">
      <c r="B208" s="2">
        <v>206</v>
      </c>
      <c r="C208" s="2" t="s">
        <v>306</v>
      </c>
    </row>
    <row r="209" spans="2:3" x14ac:dyDescent="0.25">
      <c r="B209" s="2">
        <v>207</v>
      </c>
      <c r="C209" s="2" t="s">
        <v>306</v>
      </c>
    </row>
    <row r="210" spans="2:3" x14ac:dyDescent="0.25">
      <c r="B210" s="2">
        <v>208</v>
      </c>
      <c r="C210" s="2" t="s">
        <v>306</v>
      </c>
    </row>
    <row r="211" spans="2:3" x14ac:dyDescent="0.25">
      <c r="B211" s="2">
        <v>209</v>
      </c>
      <c r="C211" s="2" t="s">
        <v>306</v>
      </c>
    </row>
    <row r="212" spans="2:3" x14ac:dyDescent="0.25">
      <c r="B212" s="2">
        <v>210</v>
      </c>
      <c r="C212" s="2" t="s">
        <v>434</v>
      </c>
    </row>
    <row r="213" spans="2:3" x14ac:dyDescent="0.25">
      <c r="B213" s="2">
        <v>211</v>
      </c>
      <c r="C213" s="2" t="s">
        <v>306</v>
      </c>
    </row>
    <row r="214" spans="2:3" x14ac:dyDescent="0.25">
      <c r="B214" s="2">
        <v>212</v>
      </c>
      <c r="C214" s="2" t="s">
        <v>306</v>
      </c>
    </row>
    <row r="215" spans="2:3" x14ac:dyDescent="0.25">
      <c r="B215" s="2">
        <v>213</v>
      </c>
      <c r="C215" s="2" t="s">
        <v>306</v>
      </c>
    </row>
    <row r="216" spans="2:3" x14ac:dyDescent="0.25">
      <c r="B216" s="2">
        <v>214</v>
      </c>
      <c r="C216" s="2" t="s">
        <v>306</v>
      </c>
    </row>
    <row r="217" spans="2:3" x14ac:dyDescent="0.25">
      <c r="B217" s="2">
        <v>215</v>
      </c>
      <c r="C217" s="2" t="s">
        <v>306</v>
      </c>
    </row>
    <row r="218" spans="2:3" x14ac:dyDescent="0.25">
      <c r="B218" s="2">
        <v>216</v>
      </c>
      <c r="C218" s="2" t="s">
        <v>306</v>
      </c>
    </row>
    <row r="219" spans="2:3" x14ac:dyDescent="0.25">
      <c r="B219" s="2">
        <v>217</v>
      </c>
      <c r="C219" s="2" t="s">
        <v>306</v>
      </c>
    </row>
    <row r="220" spans="2:3" x14ac:dyDescent="0.25">
      <c r="B220" s="2">
        <v>218</v>
      </c>
      <c r="C220" s="2" t="s">
        <v>306</v>
      </c>
    </row>
    <row r="221" spans="2:3" x14ac:dyDescent="0.25">
      <c r="B221" s="2">
        <v>219</v>
      </c>
      <c r="C221" s="2" t="s">
        <v>306</v>
      </c>
    </row>
    <row r="222" spans="2:3" x14ac:dyDescent="0.25">
      <c r="B222" s="2">
        <v>220</v>
      </c>
      <c r="C222" s="2" t="s">
        <v>444</v>
      </c>
    </row>
    <row r="223" spans="2:3" x14ac:dyDescent="0.25">
      <c r="B223" s="2">
        <v>221</v>
      </c>
      <c r="C223" s="2" t="s">
        <v>306</v>
      </c>
    </row>
    <row r="224" spans="2:3" x14ac:dyDescent="0.25">
      <c r="B224" s="2">
        <v>222</v>
      </c>
      <c r="C224" s="2" t="s">
        <v>306</v>
      </c>
    </row>
    <row r="225" spans="2:3" x14ac:dyDescent="0.25">
      <c r="B225" s="2">
        <v>223</v>
      </c>
      <c r="C225" s="2" t="s">
        <v>306</v>
      </c>
    </row>
    <row r="226" spans="2:3" x14ac:dyDescent="0.25">
      <c r="B226" s="2">
        <v>224</v>
      </c>
      <c r="C226" s="2" t="s">
        <v>306</v>
      </c>
    </row>
    <row r="227" spans="2:3" x14ac:dyDescent="0.25">
      <c r="B227" s="2">
        <v>225</v>
      </c>
      <c r="C227" s="2" t="s">
        <v>306</v>
      </c>
    </row>
    <row r="228" spans="2:3" x14ac:dyDescent="0.25">
      <c r="B228" s="2">
        <v>226</v>
      </c>
      <c r="C228" s="2" t="s">
        <v>306</v>
      </c>
    </row>
    <row r="229" spans="2:3" x14ac:dyDescent="0.25">
      <c r="B229" s="2">
        <v>227</v>
      </c>
      <c r="C229" s="2" t="s">
        <v>306</v>
      </c>
    </row>
    <row r="230" spans="2:3" x14ac:dyDescent="0.25">
      <c r="B230" s="2">
        <v>228</v>
      </c>
      <c r="C230" s="2" t="s">
        <v>306</v>
      </c>
    </row>
    <row r="231" spans="2:3" x14ac:dyDescent="0.25">
      <c r="B231" s="2">
        <v>229</v>
      </c>
      <c r="C231" s="2" t="s">
        <v>306</v>
      </c>
    </row>
    <row r="232" spans="2:3" x14ac:dyDescent="0.25">
      <c r="B232" s="2">
        <v>230</v>
      </c>
      <c r="C232" s="2" t="s">
        <v>306</v>
      </c>
    </row>
    <row r="233" spans="2:3" x14ac:dyDescent="0.25">
      <c r="B233" s="2">
        <v>231</v>
      </c>
      <c r="C233" s="2" t="s">
        <v>306</v>
      </c>
    </row>
    <row r="234" spans="2:3" x14ac:dyDescent="0.25">
      <c r="B234" s="2">
        <v>232</v>
      </c>
      <c r="C234" s="2" t="s">
        <v>306</v>
      </c>
    </row>
    <row r="235" spans="2:3" x14ac:dyDescent="0.25">
      <c r="B235" s="2">
        <v>233</v>
      </c>
      <c r="C235" s="2" t="s">
        <v>306</v>
      </c>
    </row>
    <row r="236" spans="2:3" x14ac:dyDescent="0.25">
      <c r="B236" s="2">
        <v>234</v>
      </c>
      <c r="C236" s="2" t="s">
        <v>306</v>
      </c>
    </row>
    <row r="237" spans="2:3" x14ac:dyDescent="0.25">
      <c r="B237" s="2">
        <v>235</v>
      </c>
      <c r="C237" s="2" t="s">
        <v>306</v>
      </c>
    </row>
    <row r="238" spans="2:3" x14ac:dyDescent="0.25">
      <c r="B238" s="2">
        <v>236</v>
      </c>
      <c r="C238" s="2" t="s">
        <v>306</v>
      </c>
    </row>
    <row r="239" spans="2:3" x14ac:dyDescent="0.25">
      <c r="B239" s="2">
        <v>237</v>
      </c>
      <c r="C239" s="2" t="s">
        <v>306</v>
      </c>
    </row>
    <row r="240" spans="2:3" x14ac:dyDescent="0.25">
      <c r="B240" s="2">
        <v>238</v>
      </c>
      <c r="C240" s="2" t="s">
        <v>306</v>
      </c>
    </row>
    <row r="241" spans="2:3" x14ac:dyDescent="0.25">
      <c r="B241" s="2">
        <v>239</v>
      </c>
      <c r="C241" s="2" t="s">
        <v>306</v>
      </c>
    </row>
    <row r="242" spans="2:3" x14ac:dyDescent="0.25">
      <c r="B242" s="2">
        <v>240</v>
      </c>
      <c r="C242" s="2" t="s">
        <v>306</v>
      </c>
    </row>
    <row r="243" spans="2:3" x14ac:dyDescent="0.25">
      <c r="B243" s="2">
        <v>241</v>
      </c>
      <c r="C243" s="2" t="s">
        <v>306</v>
      </c>
    </row>
    <row r="244" spans="2:3" x14ac:dyDescent="0.25">
      <c r="B244" s="2">
        <v>242</v>
      </c>
      <c r="C244" s="2" t="s">
        <v>306</v>
      </c>
    </row>
    <row r="245" spans="2:3" x14ac:dyDescent="0.25">
      <c r="B245" s="2">
        <v>243</v>
      </c>
      <c r="C245" s="2" t="s">
        <v>306</v>
      </c>
    </row>
    <row r="246" spans="2:3" x14ac:dyDescent="0.25">
      <c r="B246" s="2">
        <v>244</v>
      </c>
      <c r="C246" s="2" t="s">
        <v>306</v>
      </c>
    </row>
    <row r="247" spans="2:3" x14ac:dyDescent="0.25">
      <c r="B247" s="2">
        <v>245</v>
      </c>
      <c r="C247" s="2" t="s">
        <v>306</v>
      </c>
    </row>
    <row r="248" spans="2:3" x14ac:dyDescent="0.25">
      <c r="B248" s="2">
        <v>246</v>
      </c>
      <c r="C248" s="2" t="s">
        <v>306</v>
      </c>
    </row>
    <row r="249" spans="2:3" x14ac:dyDescent="0.25">
      <c r="B249" s="2">
        <v>247</v>
      </c>
      <c r="C249" s="2" t="s">
        <v>306</v>
      </c>
    </row>
    <row r="250" spans="2:3" x14ac:dyDescent="0.25">
      <c r="B250" s="2">
        <v>248</v>
      </c>
      <c r="C250" s="2" t="s">
        <v>306</v>
      </c>
    </row>
    <row r="251" spans="2:3" x14ac:dyDescent="0.25">
      <c r="B251" s="2">
        <v>249</v>
      </c>
      <c r="C251" s="2" t="s">
        <v>306</v>
      </c>
    </row>
    <row r="252" spans="2:3" x14ac:dyDescent="0.25">
      <c r="B252" s="2">
        <v>250</v>
      </c>
      <c r="C252" s="2" t="s">
        <v>300</v>
      </c>
    </row>
    <row r="253" spans="2:3" x14ac:dyDescent="0.25">
      <c r="B253" s="2">
        <v>251</v>
      </c>
      <c r="C253" s="2" t="s">
        <v>302</v>
      </c>
    </row>
    <row r="254" spans="2:3" x14ac:dyDescent="0.25">
      <c r="B254" s="2">
        <v>252</v>
      </c>
      <c r="C254" s="2" t="s">
        <v>303</v>
      </c>
    </row>
    <row r="255" spans="2:3" x14ac:dyDescent="0.25">
      <c r="B255" s="2">
        <v>253</v>
      </c>
      <c r="C255" s="2" t="s">
        <v>304</v>
      </c>
    </row>
    <row r="256" spans="2:3" x14ac:dyDescent="0.25">
      <c r="B256" s="2">
        <v>254</v>
      </c>
      <c r="C256" s="2" t="s">
        <v>305</v>
      </c>
    </row>
    <row r="257" spans="2:3" x14ac:dyDescent="0.25">
      <c r="B257" s="2">
        <v>255</v>
      </c>
      <c r="C257" s="2" t="s">
        <v>297</v>
      </c>
    </row>
  </sheetData>
  <sortState ref="D3:D32">
    <sortCondition ref="D32"/>
  </sortState>
  <mergeCells count="1">
    <mergeCell ref="B2:C2"/>
  </mergeCells>
  <conditionalFormatting sqref="B3:D259">
    <cfRule type="notContainsBlanks" dxfId="0" priority="1">
      <formula>LEN(TRIM(B3))&gt;0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Indice Plan</vt:lpstr>
      <vt:lpstr>Liste des Calques</vt:lpstr>
      <vt:lpstr>Toiture - Filtres</vt:lpstr>
      <vt:lpstr>CS - Filtres</vt:lpstr>
      <vt:lpstr>Ombrière - Filtres</vt:lpstr>
      <vt:lpstr>Serre - Filtres</vt:lpstr>
      <vt:lpstr>Syn. - Filtres</vt:lpstr>
      <vt:lpstr>Données AutoCAD</vt:lpstr>
      <vt:lpstr>Couleur</vt:lpstr>
      <vt:lpstr>Ind_CS</vt:lpstr>
      <vt:lpstr>Ind_Ombrière</vt:lpstr>
      <vt:lpstr>Ind_Serre</vt:lpstr>
      <vt:lpstr>Ind_Syn</vt:lpstr>
      <vt:lpstr>Ind_Toiture</vt:lpstr>
      <vt:lpstr>List_CS</vt:lpstr>
      <vt:lpstr>List_Ombrière</vt:lpstr>
      <vt:lpstr>List_Serre</vt:lpstr>
      <vt:lpstr>List_Synoptique</vt:lpstr>
      <vt:lpstr>List_Toiture</vt:lpstr>
      <vt:lpstr>Liste_Complète_Calques</vt:lpstr>
      <vt:lpstr>TypeLigne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Philip</dc:creator>
  <cp:lastModifiedBy>Lucas Philip</cp:lastModifiedBy>
  <dcterms:created xsi:type="dcterms:W3CDTF">2019-05-16T13:01:22Z</dcterms:created>
  <dcterms:modified xsi:type="dcterms:W3CDTF">2019-07-30T14:37:07Z</dcterms:modified>
</cp:coreProperties>
</file>